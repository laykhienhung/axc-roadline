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 sheetId="1" r:id="rId4"/>
    <sheet state="visible" name="Executive Summary" sheetId="2" r:id="rId5"/>
    <sheet state="visible" name="O1 Strategy" sheetId="3" r:id="rId6"/>
    <sheet state="visible" name="O2 Process" sheetId="4" r:id="rId7"/>
    <sheet state="visible" name="O3 Tools" sheetId="5" r:id="rId8"/>
    <sheet state="visible" name="O4 People" sheetId="6" r:id="rId9"/>
    <sheet state="visible" name="O5 Measurement" sheetId="7" r:id="rId10"/>
    <sheet state="visible" name="O6 Governance" sheetId="8" r:id="rId11"/>
    <sheet state="visible" name="Meeting Log" sheetId="9" r:id="rId12"/>
    <sheet state="visible" name="Job Description" sheetId="10" r:id="rId13"/>
  </sheets>
  <definedNames/>
  <calcPr/>
  <extLst>
    <ext uri="GoogleSheetsCustomDataVersion2">
      <go:sheetsCustomData xmlns:go="http://customooxmlschemas.google.com/" r:id="rId14" roundtripDataChecksum="MiHQ+FMrnC4nppol18chlqsDQUdL1pa+92R7NwZTFok="/>
    </ext>
  </extLst>
</workbook>
</file>

<file path=xl/sharedStrings.xml><?xml version="1.0" encoding="utf-8"?>
<sst xmlns="http://schemas.openxmlformats.org/spreadsheetml/2006/main" count="875" uniqueCount="396">
  <si>
    <t>AXC TEAM - OBJECTIVES AND ACTION PLAN</t>
  </si>
  <si>
    <t>FY2026-27  |  12-month plan built from the AI Transformation job description  |  Q1 = M1-M3, Q2 = M4-M6, Q3 = M7-M9, Q4 = M10-M12</t>
  </si>
  <si>
    <t>Start month (M1)</t>
  </si>
  <si>
    <t>Assumption. Change it and every Due date updates.</t>
  </si>
  <si>
    <t>1  AXC OVERVIEW</t>
  </si>
  <si>
    <t>O1 - Strategy &amp; Roadmap</t>
  </si>
  <si>
    <t>Team</t>
  </si>
  <si>
    <t>AI Transformation Team (AXC) – AXC Lead, AI Specialist, Coordinator</t>
  </si>
  <si>
    <t>What we are here to do</t>
  </si>
  <si>
    <t>Owner</t>
  </si>
  <si>
    <t>AXC drives AI transformation across the company: sets the AI strategy and roadmap, redesigns work with AI, chooses the right tools, builds people's AI skills, measures AI maturity and impact, and keeps AI use safe. We are judged on real use and measured results, not on documents delivered.</t>
  </si>
  <si>
    <t>2  OBJECTIVES &amp; PROGRESS</t>
  </si>
  <si>
    <t>ID</t>
  </si>
  <si>
    <t>AXC Lead + Coordinator</t>
  </si>
  <si>
    <t>Status</t>
  </si>
  <si>
    <t>Objective</t>
  </si>
  <si>
    <t>Description</t>
  </si>
  <si>
    <t>Done</t>
  </si>
  <si>
    <t>Progress</t>
  </si>
  <si>
    <t>O1</t>
  </si>
  <si>
    <t>Strategy &amp; Roadmap</t>
  </si>
  <si>
    <t>A company-wide AI strategy and roadmap tied to business priorities, reviewed every quarter by leadership.</t>
  </si>
  <si>
    <t>O2 - Process Change</t>
  </si>
  <si>
    <t>Not started</t>
  </si>
  <si>
    <t>Where are we going, and are we on track?</t>
  </si>
  <si>
    <t>1  OBJECTIVE</t>
  </si>
  <si>
    <t>AI Specialist + Coordinator + AXC Lead</t>
  </si>
  <si>
    <t>2  ACTION PLAN</t>
  </si>
  <si>
    <t>O3 - Tools &amp; Licenses</t>
  </si>
  <si>
    <t>#</t>
  </si>
  <si>
    <t>Quarter</t>
  </si>
  <si>
    <t>Action</t>
  </si>
  <si>
    <t>Partners</t>
  </si>
  <si>
    <t>Due</t>
  </si>
  <si>
    <t>%</t>
  </si>
  <si>
    <t>AI Specialist + Coordinator</t>
  </si>
  <si>
    <t>Reference document</t>
  </si>
  <si>
    <t>Note</t>
  </si>
  <si>
    <t>1.1</t>
  </si>
  <si>
    <t>How does the work change?</t>
  </si>
  <si>
    <t>AI strategy &amp; roadmap approved</t>
  </si>
  <si>
    <t>Redesign the main workflows (coding, code review, testing, documentation, requirements, PM, reporting, communication) in the order set by the BOD, pilot them in real projects, and make the ones that work a standard for the whole company.</t>
  </si>
  <si>
    <t>Goal: One company AI strategy and 12-month roadmap, approved by the BOD, that all functions follow.
Needs first: BOD names a sponsor; Company business priorities for the year are available
JD: 1.1, 1.2</t>
  </si>
  <si>
    <t>Which tools do we use, and at what cost?</t>
  </si>
  <si>
    <t>O2</t>
  </si>
  <si>
    <t>Process Change</t>
  </si>
  <si>
    <t>Evaluate external tools on 6 criteria: applicability, productivity, user experience, cost, security and data protection. Run proof-of-value trials (PoV) and set the tools and usage for each role. Manage licenses, usage and cost. Consider internal AI infrastructure only when there is a clear reason.</t>
  </si>
  <si>
    <t>2.1</t>
  </si>
  <si>
    <t>3.1</t>
  </si>
  <si>
    <t>Engineering workflows redesigned: coding, code review</t>
  </si>
  <si>
    <t>O3</t>
  </si>
  <si>
    <t>Q1</t>
  </si>
  <si>
    <t>One tool evaluation process</t>
  </si>
  <si>
    <t>Tools &amp; Licenses</t>
  </si>
  <si>
    <t>Goal: A new AI way of working for coding and code review, with clear rules for human review of AI code, ready for pilot.
Needs first: BOD confirms the first pilot and its pilot project; Approved tool list and AI Usage Policy in place; The pilot project's client allows AI use; Pilot team has taken Safe AI training; AI incident channel is ready
JD: 1.2, 1.3, 2.1, 2.2, 4.5</t>
  </si>
  <si>
    <t>Collect business priorities from the BOD, with input from function heads</t>
  </si>
  <si>
    <t>AXC Lead</t>
  </si>
  <si>
    <t>Goal: One process to check every AI tool on 6 criteria, including security, before it is used or bought.
Needs first: Security names a reviewer for the security criteria; Data categories defined in the AI Usage Policy; BOD confirms a budget for trial licenses
JD: 3.1, 3.2, 3.3, 3.5</t>
  </si>
  <si>
    <t>BOD sponsor</t>
  </si>
  <si>
    <t>Function head confirms the use case and the pilot project, and names the owner and AI lead</t>
  </si>
  <si>
    <t>6-criteria scorecard</t>
  </si>
  <si>
    <t>AI Specialist</t>
  </si>
  <si>
    <t>Security, IT</t>
  </si>
  <si>
    <t>O4</t>
  </si>
  <si>
    <t>People &amp; Skills</t>
  </si>
  <si>
    <t>Engineering lead</t>
  </si>
  <si>
    <t>A role-based AI capability program: skills, learning paths, hands-on training and best-practice sharing. Follow up on AI use after training, not stop at one course.</t>
  </si>
  <si>
    <t>Coordinator + AI Specialist</t>
  </si>
  <si>
    <t>O5</t>
  </si>
  <si>
    <t>Measurement &amp; AML</t>
  </si>
  <si>
    <t>Measure AI maturity level (AML) objectively at 3 levels: individual, team and company. Find weak areas and act on them. Analyse the link between AI use and business results, and provide the numbers for the quarterly review.</t>
  </si>
  <si>
    <t>Input: earlier tool evaluations exist, none on a 6-criteria scorecard: radar scoring of Cursor/Claude/Copilot on 13 areas and 3 roles (12/03/2026), AI Tools Comparison Report v1 (Claude, Cursor, Copilot, ChatGPT, Gemini across 4 project types and 3 roles), and a Cursor Individual vs Business comparison that includes security &amp; policy controls. Source: SSC MC 12/03/2026 p13; SSC MC 22/05/2026 p6; SSC MC 22/01/2026 p6.</t>
  </si>
  <si>
    <t>Input: Function-level input has started. AI PICs were named per BU (LSG 2, ESG 1) to gather BU needs, with ESG and LSG set as first priorities. MC leadership asked for KPI + timeline for ~10 management items, 1-2 items done and user-tested each month, and 100+ items at operation level. Earlier, the BOD asked to raise the 2026 efficiency-gain target from 25% to 30%. No BOD priority collection is recorded yet. Source: AXC MC 07/08/2026 p10; AXC MC 28/08/2026 p2; MoM AXC MC 28/08/2026 s2; SSC MC 06/02/2026 p2, p4 (25% in SSC MC 22/01/2026 p4).</t>
  </si>
  <si>
    <t>Score tools already in use; passing tools go on the approved tool list</t>
  </si>
  <si>
    <t>Write strategy + roadmap</t>
  </si>
  <si>
    <t>O6</t>
  </si>
  <si>
    <t>Safety &amp; Governance</t>
  </si>
  <si>
    <t>Set principles and a policy for responsible AI use: security, personal data, IP and client confidentiality. Keep a list of approved tools and permitted use. Work with Security, IT, HR, Legal and function leaders.</t>
  </si>
  <si>
    <t>AXC Lead + AI Specialist + Coordinator</t>
  </si>
  <si>
    <t>In progress</t>
  </si>
  <si>
    <t>Input: tools in use total 180 accounts (Claude 61, GitHub 55, Cursor 41, Claude Max 15, ChatGPT 8). Earlier reviews recommend 'Claude + Cursor', and draft standard AXC-STD-AI-001 v0.9 (17/09/2026, awaiting approval) sets ChatGPT + Claude as the standard platform and leaves Gemini out until the Google Workspace tier is upgraded (R5.5). No tool has been scored yet and there is no approved list. Source: AXC MC 28/08/2026 p7; SSC MC 12/03/2026 p13; SSC MC 22/05/2026 p6; AI_Cost_Quota_Standard_by_Role.md §5, R5.5.</t>
  </si>
  <si>
    <t>[AXC] AXC_Team_Objectives_ActionPlan_FY2026-2027.xlsx; AXC_AI_Transformation_Objectives_BOD.xlsx; AXC_AI_Transformation_Objectives.pptx</t>
  </si>
  <si>
    <t>Get trial licenses for proof-of-value (PoV) tools, after the BOD confirms the budget</t>
  </si>
  <si>
    <t>Roadmap + objectives drafted (01/10/2026). 1-page strategy (business problems, yearly goals) pending business priorities from action 1. Input: An earlier AI Adoption Road Map exists, running from Q1.26 Pilot (Done) to Q3-4.27 Scale &amp; AI-First and mapped to Levels 1-6. The undated AX BOD briefing frames 3 steps (Step 1 'Use the tools' Done with 214 AI accounts issued, Step 2 partly in progress, Step 3 not started) and 2 conditions (people, AI data-access policy). The MC chose Google Workspace automation first, with no internal or open-source infrastructure yet. No strategy + roadmap document has been written yet. Source: SSC MC 16/04/2026 p5; AX_BOD_Briefing_EN slides 1-2; MoM AXC MC 28/08/2026 Decisions #7, #9.</t>
  </si>
  <si>
    <t>Input: these candidate engineering pilots already use AI: TMS (GitHub Copilot, 6 accounts), BluePrint (Copilot 22%, then a Cursor pilot), HRX (Claude Agent Teams PoC) and HRM-Sambu (Cursor + Claude). No function head has confirmed a use case, pilot project, owner or AI lead under the new plan. Source: SSC MC 16/10/2025 p5; SSC MC 27/02/2026 p6; SSC MC 12/03/2026 p7; SSC MC 22/05/2026 p11.</t>
  </si>
  <si>
    <t>BOD sets the priorities, the order of the workflow areas and the first pilot with its pilot project, and approves the strategy + roadmap, in one BOD session with the AI principles, decision table and trial license budget</t>
  </si>
  <si>
    <t>Map the current way of working in the pilot project</t>
  </si>
  <si>
    <t>Input: the 03/07 request-process proposal (option 2) has trial ('probation') use paid by AXC, after which the BOD decides on real usage data; no approval is recorded. Similar request: a 3-month OpenAI API pilot for HR CV screening (Oct-Dec 2026, 5-20 $/month, 20 $/month hard limit). The MoM of 28/08 had proposed 20-50 USD/month, still awaiting approval. Source: AXC MC 03/07/2026 p7; AXC_Ticket_AI_API_Budget_CV_Screening.md (18/09/2026); MoM AXC MC 28/08/2026 s3.2, Decision #12.</t>
  </si>
  <si>
    <t>Q2</t>
  </si>
  <si>
    <t>Keep a watch list of new tools, updated every quarter</t>
  </si>
  <si>
    <t>Input for the trial license budget: a TO-BE account process was proposed, with probation use paid by AXC and the BOD deciding from AXC's real usage summary (proposal only). The MC agreed more accounts can be funded based on AML results. No BOD session, pilot choice or budget approval is recorded. Source: AXC MC 03/07/2026 p7; MoM AXC MC 28/08/2026 Decision #11.</t>
  </si>
  <si>
    <t>1.2</t>
  </si>
  <si>
    <t>TOTAL</t>
  </si>
  <si>
    <t>Quarterly transformation review</t>
  </si>
  <si>
    <t>Goal: A quarterly review where leaders use one report to decide to continue, scale or stop each initiative.
Needs first: BOD confirms the review schedule; Usage, cost, AML and pilot results as they become available
JD: 1.5, 5.5</t>
  </si>
  <si>
    <t>Starts this month, then ongoing. Input: 'Keep up to date with AI tools/features in market' was a standing next action. The 12/03 deck notes that tool rankings change fast: Cursor was rated above Claude about three months earlier. n8n was reviewed as a new tool on 30/10/2025. There is no formal watch list with quarterly updates. Source: SSC MC 16/04/2026 p2; SSC MC 12/03/2026 p13; SSC MC 30/10/2025 p7.</t>
  </si>
  <si>
    <t>Input: the AML self-assessments describe today's engineering work. BluePrint: 'Review is fully manual', 'AI is used to draft, not to work'. CARIS: AI does the work but the checks are all manual. LSG: Claude is used by all roles, but only Dev has a skill library; the step 'AXC analyzes current project workflow' is planned, not done, and no pilot project is confirmed. Source: AXC MC 24/07/2026 slides 8-9; AXC MC 28/08/2026 p6, p10.</t>
  </si>
  <si>
    <t>Trial new tools on real work inside workflow pilots (PoV); each tool must pass the security criteria first</t>
  </si>
  <si>
    <t>Measure the baseline: time per task, review time, defects found</t>
  </si>
  <si>
    <t>BOD confirms the quarterly review schedule, in the same BOD session as the strategy approval</t>
  </si>
  <si>
    <t>BOD, function heads</t>
  </si>
  <si>
    <t>Input: the only past figures are coding gains self-reported by projects, with no method shown. They are TMS Copilot 5% to 22% (Wk1-2 to Wk7-8, coding scope only), 5 projects at 30-35% (avg 31%), BluePrint ~20% time saved per dev and HRM-Sambu ~35-40%. HRX PoC: senior 50%, fresher 20%, shown as 'AVERAGE 35.5%' (the simple mean is 35%), measured against a no-AI estimate. These conflict with lower earlier figures (e.g. Copilot 22%, CARIS 20% on 27/02), and none measures time per task, review time or defects. Source: SSC MC 10/12/2025 p5; SSC MC 16/04/2026 p14; SSC MC 22/05/2026 p11; SSC MC 12/03/2026 p7; SSC MC 27/02/2026 p6.</t>
  </si>
  <si>
    <t>Input: earlier hands-on trials on real work can serve as references: Claude Agent Teams PoC on HRX (avg 35.5% on one user story; needs a Max account, $100-200), Copilot in TMS (5% to 22% over 8 weeks), and QC test-case generation (Claude 71, ChatGPT 49, Gemini 16). None went through a security check first. Source: SSC MC 27/02/2026 p4-5; SSC MC 12/03/2026 p5-8, p10; SSC MC 22/05/2026 p6; SSC MC 16/10/2025-10/12/2025.</t>
  </si>
  <si>
    <t>Q3</t>
  </si>
  <si>
    <t>1-page report template</t>
  </si>
  <si>
    <t>Design the new workflow, review rules and standard prompts</t>
  </si>
  <si>
    <t>Coordinator</t>
  </si>
  <si>
    <t>Criteria for internal AI infrastructure</t>
  </si>
  <si>
    <t>ongoing</t>
  </si>
  <si>
    <t>Functions can propose new use cases before each quarterly review; the BOD decides</t>
  </si>
  <si>
    <t>Quarterly</t>
  </si>
  <si>
    <t>Input: AIC researched local AI: RAG ~2-3 weeks to demo, fine-tuning ~1 month, minimum GPU &gt;= 48GB VRAM, RAM &gt;= 64GB and ~3 headcounts. The work was paused for 'lacking some information', and on 28/08 the MC decided not to invest in internal or open-source infrastructure for now (Decision #7). Source: SSC MC 22/05/2026 p5; SSC MC 16/04/2026 p7-12; MoM AXC MC 28/08/2026 s6, Decision #7.</t>
  </si>
  <si>
    <t>3.2</t>
  </si>
  <si>
    <t>Input: An informal channel exists. AXC engaged AI-interested PICs per BU (LSG 2, ESG 1) to surface BU-specific AI use cases, and the work continues with ESG and LSG. This is not yet a quarterly mechanism with BOD decisions. Source: AXC MC 07/08/2026 p10; AXC MC 28/08/2026 p2.</t>
  </si>
  <si>
    <t>Input: the AML found Control (review of AI output) below Required in all 3 projects, a company-wide gap; the proposed fix is to 'bring AI into the review step, not just the coding step'. Building blocks: a generic with/without-AI process including a Code Review step ('Review AI pre-check → verify logic → approve'), the Prompting Hub (roadmap 20% complete on 27/02; v1 in internal testing on 16/04) and the idea of standard Rules.md/Pattern.md files. Source: AXC MC 28/08/2026 p8-11; SSC MC 22/05/2026 p7; SSC MC 27/02/2026 p7; SSC MC 16/04/2026 p5; SSC MC 12/03/2026 p8.</t>
  </si>
  <si>
    <t>Quarterly review: the BOD reviews the report and confirms continue / scale / stop and roadmap updates</t>
  </si>
  <si>
    <t>Tool &amp; license standard by role</t>
  </si>
  <si>
    <t>Run the pilot in the pilot project and measure before/after</t>
  </si>
  <si>
    <t>Goal: A standard that sets which tools and licenses each role gets, and what they are used for.
Needs first: Tool scoring and trial (PoV) results; Tool budget confirmed by the BOD
JD: 3.3, 3.4</t>
  </si>
  <si>
    <t>Per BOD schedule</t>
  </si>
  <si>
    <t>List roles and tool needs</t>
  </si>
  <si>
    <t>IT, Finance</t>
  </si>
  <si>
    <t>Input: an earlier coding pilot ran on TMS with GitHub Copilot (6 accounts received 14-Oct-2025, 6/6 active by 30/10). SSC self-reported a gain of 5% (Wk1-2) rising to 22% (Wk7-8, 'TARGET ACHIEVED'), coding scope only, with no baseline or method shown, and no final report appears in the files. Source: SSC MC 16/10/2025 p5; SSC MC 30/10/2025 p5; SSC MC 10/12/2025 p5.</t>
  </si>
  <si>
    <t>Adjust the workflow after the pilot</t>
  </si>
  <si>
    <t>Draft standard AXC-STD-AI-001 v0.9 (17/09/2026, awaiting approval) lists 3 role groups (A PM/Leader/Manager; B Dev/Tech Lead/DevOps/AI Engineer/QC automation; C BC/BA/Designer/QC/Technical Writer) x 3 tiers, each with a default tool set: A $20/$30/$60, B $45/$150/$250, C $20/$60/$120 per person per month. This follows MoM Action #5 (Kamu: account allocation policy by role/purpose). Source: AI_Cost_Quota_Standard_by_Role.md §2-§5; MoM AXC MC 28/08/2026 s6, Action #5.</t>
  </si>
  <si>
    <t>Final standard after the PoV trials; budget confirmed by the BOD at the quarterly review</t>
  </si>
  <si>
    <t>2.2</t>
  </si>
  <si>
    <t>ACTIONS DONE</t>
  </si>
  <si>
    <t>Delivery workflows redesigned: requirements, testing, documentation</t>
  </si>
  <si>
    <t>Goal: A new AI way of working for requirements, testing and documentation, with a quality check on AI output, ready for pilot.
Needs first: BOD has set the order of the workflow areas; Approved tool list and AI Usage Policy in place; The pilot project's client allows AI use; Pilot team has taken Safe AI training; AI incident channel is ready; Current document and test templates are used as baseline
JD: 1.2, 1.3, 2.1, 2.2, 4.5</t>
  </si>
  <si>
    <t>A draft standard exists (v0.9, 17/09/2026), with a price reference table verified 17/09/2026 and a quarterly review clause (R3.5). The PoV trials and the BOD budget confirmation have not happened. MC direction (28/08): AI cost may rise while labor cost falls, keeping total cost flat, and more accounts can be funded based on AML results (Decision #11). Source: AI_Cost_Quota_Standard_by_Role.md header, R3.5, §8; MoM AXC MC 28/08/2026 s6, Decision #11.</t>
  </si>
  <si>
    <t>3  HOW THIS PLAN WORKS</t>
  </si>
  <si>
    <t>Apply to all licenses</t>
  </si>
  <si>
    <t>-</t>
  </si>
  <si>
    <t>Six objectives (O1-O6), each answering one question. Each objective has its own sheet with its details and actions.</t>
  </si>
  <si>
    <t>Each objective detail has a goal, the conditions it needs first, and a list of actions with owner and due month.</t>
  </si>
  <si>
    <t>BA lead, QA lead</t>
  </si>
  <si>
    <t>Due dates are counted from the Start month above (M1). 'ongoing' actions repeat (monthly, quarterly, per pilot …).</t>
  </si>
  <si>
    <t>Each action has a Status and a % (0-100%) filled by its owner. Progress = average % of all actions (empty = 0%). Done = number of actions marked Done.</t>
  </si>
  <si>
    <t>No numeric targets yet: they are set after the first baseline is measured (O5).</t>
  </si>
  <si>
    <t>Review and update the standard, confirmed by the BOD at the quarterly review</t>
  </si>
  <si>
    <t>Per BOD review</t>
  </si>
  <si>
    <t>Planned workflow order is Engineering → Delivery → Management. If the BOD picks a different first pilot, the order changes.</t>
  </si>
  <si>
    <t>BOD sessions: M2 (strategy, workflow order, first pilot, decision table, review schedule, trial license budget) · M3 (AI Usage Policy) · M5 (AML framework) · then the quarterly reviews.</t>
  </si>
  <si>
    <t>Input: draft standard v0.9 already requires a quarterly review (R3.5: default tier reviewed using upgrade-approval rate, share of staff hitting the Tier 1 cap, and AML results), plus a mandatory quarterly price-table update. The standard is not approved yet. Source: AI_Cost_Quota_Standard_by_Role.md header, R3.5, §8.</t>
  </si>
  <si>
    <t>4  HOW TO USE THIS FILE</t>
  </si>
  <si>
    <t>3.3</t>
  </si>
  <si>
    <t>Owners fill in only the yellow cells on their objective sheet: Status of each action, Reference document, Note, and the objective Status at the top.</t>
  </si>
  <si>
    <t>Usage &amp; cost tracked monthly</t>
  </si>
  <si>
    <t>Goal: Every AI license tracked each month for usage and cost, with unused licenses taken back.
Needs first: IT gives access to tool admin data; Finance provides cost and renewal dates
JD: 3.4, 6.4</t>
  </si>
  <si>
    <t>This summary updates itself from the objective sheets. Do not type into it (except the Start month).</t>
  </si>
  <si>
    <t>Input: AI PICs are named (LSG 2, ESG 1), and AXC is working with the ERP projects (CLT Office, Fine Chemical) on BA/spec work. The LSG plan is for AXC to build common AI skills for BA &amp; QC first, then run a PoC in a small team, but no function head has confirmed a use case, pilot project, owner or AI lead. Source: AXC MC 07/08/2026 p6-10; AXC MC 28/08/2026 p6.</t>
  </si>
  <si>
    <t>To add an action, use the spare rows at the end of each action table.</t>
  </si>
  <si>
    <t>Update statuses monthly; review fully at each quarterly review.</t>
  </si>
  <si>
    <t>Map the current way of working for BA and QA</t>
  </si>
  <si>
    <t>License register</t>
  </si>
  <si>
    <t>Record every approval, confirmation and report from a meeting in the Meeting Log sheet.</t>
  </si>
  <si>
    <t>5  DOCUMENT CONTROL</t>
  </si>
  <si>
    <t>Version</t>
  </si>
  <si>
    <t>4.2 (01/10/2026)</t>
  </si>
  <si>
    <t>Period</t>
  </si>
  <si>
    <t>FY2026-27 (12 months from the Start month)</t>
  </si>
  <si>
    <t>Based on</t>
  </si>
  <si>
    <t>AXC_AI_Transformation_Objectives_BOD.xlsx</t>
  </si>
  <si>
    <t>Previous version</t>
  </si>
  <si>
    <t>v2.4 saved as [AXC] AXC_Team_Objectives_ActionPlan_FY2026-2027_v2.4_backup.xlsx</t>
  </si>
  <si>
    <t>Prepared by</t>
  </si>
  <si>
    <t>AXC Team</t>
  </si>
  <si>
    <t>Last updated</t>
  </si>
  <si>
    <t>01/10/2026</t>
  </si>
  <si>
    <t>Accounts counted: 180 AI accounts by division (New Business 131, CLT Service 36, Management Support 7, BOD 6) and by type (Claude 61, GitHub 55, Cursor 41, Claude Max 15, ChatGPT 8), with a monthly trend from 37 (02/26) to 180 (07/26). There is no per-license register yet (holder, cost, dates). Conflicts to reconcile: the BOD briefing says 214 accounts issued (deck undated, file saved 29/09/2026), and 03/07 p5 gives 97/120/134 for 04-06/26 against 87/102/141 on 28/08. Source: AXC MC 28/08/2026 p7; AX_BOD_Briefing_EN slide 1; AXC MC 03/07/2026 p5.</t>
  </si>
  <si>
    <t>Changes</t>
  </si>
  <si>
    <t>First monthly usage and cost report</t>
  </si>
  <si>
    <t>workshop removed (1.1); use-case list moved to O2 as 2.1; quarterly review dates set by the BOD; 6-month reviews replaced by BOD confirmation; actions written without references to other items; pilots and baselines moved into each workflow (2.2-2.4); approved tool list kept only in 3.1; trial licenses for PoV added; AI Champion item removed (AI leads act as power users); O4: earlier skills draft, basic course = first step of learning path, role content owned by AI Specialist, new-hire onboarding added; O5: rules for individual AML results, cycle 1 team/company only; O6: personal-data law in data classes, shadow-AI check, tool list needed before policy approval; final review: first pilot and trial budget dated at BOD sessions, Q1 workload rebalanced, plain-English terms; v4.1: use-case list removed – the BOD sets the workflow order and first pilot, each workflow starts with the function head confirming the use case, owner and AI lead; v4.2: % column added (Progress = average %), Note column filled with work already done, mapped from the MC reports and AXC documents (each note cites its source; "Input:" = useful input, the action itself not started).</t>
  </si>
  <si>
    <t>Partial current-state map for 2 ERP projects (not a confirmed pilot). CLT Office: 2.0 BA / 11.0 Dev, specs not released on time, BA use limited by gaps in legacy and accounting knowledge, QC tests and retests by hand. Fine Chemical: 3.0 BA / 5.0 Dev, specs conflict, AI used in all 8 steps (BA, Dev, QA). In both, delays come from the written spec, AI is still a helper and no written process requires it. Source: AXC MC 07/08/2026 p7; AXC MC 28/08/2026 p5; AI_Adoption_Summary_2Projects slide 1.</t>
  </si>
  <si>
    <t>Measure the baseline: time to write requirements, test cases and documents; rework</t>
  </si>
  <si>
    <t>Cost data reported to MC: 18 to 134 accounts and $290 to $3,580/month (25/12-26/06), avg $30/account, Dec 2026 forecast base ~175 users / $4.7K, growth ~250 / $7K. A usage survey (May-Jul 2026) covered 46 accounts (19 non-dev, 27 dev), and the OmniRoute monitoring tool is 'Usage Monitoring (50% Done)'. No cost figure has been reported since 03/07, and no monthly report has been issued yet. Source: AXC MC 03/07/2026 p5; AXC MC 24/07/2026 slides 4, 6; AXC MC 28/08/2026 p7.</t>
  </si>
  <si>
    <t>Take-back rules + alert limits</t>
  </si>
  <si>
    <t>A 5-step usage review was proposed (weekly snapshot, flag low usage, propose, PIC confirms, AXC monitors), and one take-back was done: 11 Cursor + 1 Claude accounts reallocated from low-use holders to ESG. Draft standard v0.9 requires an org-level hard spending limit before allocation (R7.2) and a separate cap per agentic tool (R7.3). No formal take-back rule or alert thresholds are set yet. Source: AXC MC 24/07/2026 slide 5; AXC MC 28/08/2026 p7; AI_Cost_Quota_Standard_by_Role.md R7.2-R7.3.</t>
  </si>
  <si>
    <t>Monthly usage and cost report</t>
  </si>
  <si>
    <t>Monthly</t>
  </si>
  <si>
    <t>Input: Fine-Chemical reports 'Documents 2.2× faster, screens 3× faster' (project-reported; method and comparison not shown). QC test cases from User Story + Figma: Gemini 16, ChatGPT 49, Claude 71, with 'coverage improved by 40–65%' (calculation not shown). Neither is a baseline for time to write requirements, test cases or documents, or for rework. Source: AXC MC 28/08/2026 p5; SSC MC 12/03/2026 p10; SSC MC 22/05/2026 p6.</t>
  </si>
  <si>
    <t>Input: AI account status was reported at the MC meetings of 03/07, 24/07, 07/08 and 28/08 (not on a fixed monthly cycle; cost only on 03/07). OmniRoute, where users connect Claude Code, Copilot or Cursor accounts, is the planned data source and is 50% done. Source: AXC MC 03/07/2026 p5; AXC MC 24/07/2026 slide 6; AXC MC 07/08/2026 p11; AXC MC 28/08/2026 p7.</t>
  </si>
  <si>
    <t>Design the new workflow with a check step for AI output</t>
  </si>
  <si>
    <t>Add cost vs. impact to the monthly report, using pilot results</t>
  </si>
  <si>
    <t>Starts this month, then ongoing. Input: draft standard v0.9 makes 'AI cost per unit of completed work' (per US, per screen, per test-case set) the mandatory metric instead of token count (R4.2). An earlier Cursor/Claude pilot projected ~$2,600 saving and ~$2,360 net (an estimate, not a measured result). Source: AI_Cost_Quota_Standard_by_Role.md R4.2; SSC MC 13/11/2025 p6.</t>
  </si>
  <si>
    <t>A first BA workflow kit with check steps exists for ERP Fine-Chemical: a shared Claude Project with BA-SPEC-KIT v0.1 (2026-08-04), URD/screen templates, a QA gate file (06_biz__qa-room-gate) and 4 skills created 8/5/26 (biz-sync, check-consistency, gen-urd, prep-meeting). AXC has proposed a process where 'AI is a step, not a helper', with people approving and an AI check built in, but it has not been run as a measured pilot. Source: AXC MC 07/08/2026 p8-9; AI_Adoption_Summary_2Projects slide 1.</t>
  </si>
  <si>
    <t>Q4</t>
  </si>
  <si>
    <t>2.3</t>
  </si>
  <si>
    <t>Management workflows redesigned: PM, reporting, communication</t>
  </si>
  <si>
    <t>Goal: A new AI way of working for project management, reporting and communication, ready for pilot.
Needs first: BOD has set the order of the workflow areas; Approved tool list and AI Usage Policy in place; The pilot project's client allows AI use; Pilot team has taken Safe AI training; AI incident channel is ready; Current report and minutes templates are available
JD: 1.2, 1.3, 2.1, 2.2, 4.5</t>
  </si>
  <si>
    <t>PMO, Corporate heads, AI Specialist</t>
  </si>
  <si>
    <t>Input: one possible management use case is a Jira email &gt; Google Chat &gt; central Google Sheet flow (demoed at MC). The GSD team is still in an 'Active evaluation &amp; process integration phase' for the Jira workflow, so real use is not confirmed, and no function head has confirmed a pilot, owner or AI lead. Source: MoM AXC MC 28/08/2026 s3.4 (Gemini auto-transcript); AXC MC 28/08/2026 p4.</t>
  </si>
  <si>
    <t>Map the current way of working</t>
  </si>
  <si>
    <t>Measure the baseline: time spent on plans, reports and minutes</t>
  </si>
  <si>
    <t>Design the new workflow</t>
  </si>
  <si>
    <t>Input: automation templates for management tasks are available to build on: 'Ticket → weekly report', 'Stale ticket reminder' and 'New ticket → AI triage → notify' (BluePrint + n8n), part of 10 BluePrint flows shared on 24/07. None is a designed workflow for a confirmed management pilot. Source: AXC MC 24/07/2026 slide 7.</t>
  </si>
  <si>
    <t>Run the pilot and measure before/after</t>
  </si>
  <si>
    <t>2.4</t>
  </si>
  <si>
    <t>Proven workflows become company standards</t>
  </si>
  <si>
    <t>Goal: Every new workflow is tested in a real project with measured results; the ones that work become company standards.
Needs first: A pilot has met its go/no-go target; The function head agrees to own the standard
JD: 2.3, 2.4, 2.5</t>
  </si>
  <si>
    <t>Pilot template: scope and go/no-go rules, using the metrics from the impact measurement method</t>
  </si>
  <si>
    <t>PMO/QA, function heads</t>
  </si>
  <si>
    <t>Input: earlier pieces to reuse are the HRX PoC method (take a new user story and compare actual effort with agentic AI against a no-AI estimate, senior vs fresher) and the 3-step rollouts: Select &amp; adjust (wk 1-2), Pilot &amp; refine (wk 3-4), Stabilise &amp; measure; and Share &amp; improve, Start &amp; measure, Improve &amp; act. None defines scope or go/no-go rules. Source: SSC MC 12/03/2026 p7; AXC MC 03/07/2026 p8-9.</t>
  </si>
  <si>
    <t>Package an SOP after each successful pilot</t>
  </si>
  <si>
    <t>Per pilot</t>
  </si>
  <si>
    <t>Review and update standard workflows, confirmed by the BOD at the quarterly review</t>
  </si>
  <si>
    <t>O5 - Measurement &amp; AML</t>
  </si>
  <si>
    <t>O4 - People &amp; Skills</t>
  </si>
  <si>
    <t>How do we measure progress and impact?</t>
  </si>
  <si>
    <t>Are our people able to use AI?</t>
  </si>
  <si>
    <t>5.1</t>
  </si>
  <si>
    <t>AML framework with objective indicators</t>
  </si>
  <si>
    <t>Goal: One approved AML framework that measures AI maturity for individuals, teams and the company, using system data.
Needs first: IT/PMO give data access (usage logs, Jira, Git, timesheets); Monthly usage data from license tracking is available
JD: 5.1, 5.2</t>
  </si>
  <si>
    <t>4.1</t>
  </si>
  <si>
    <t>Draft levels, criteria, indicators and data sources</t>
  </si>
  <si>
    <t>HR, IT, PMO</t>
  </si>
  <si>
    <t>Skills framework &amp; learning path by role</t>
  </si>
  <si>
    <t>Goal: Clear AI skill levels and a learning path for every role.
Needs first: HR co-owns this item; Role list from the tool &amp; license standard; Levels match the AML levels
JD: 4.1, 4.2</t>
  </si>
  <si>
    <t>Draft skill levels, aligned with the AML levels</t>
  </si>
  <si>
    <t>HR, function heads</t>
  </si>
  <si>
    <t>Draft AML framework exists: levels 1-7 drafted 16/04/2026, then a 6-axis model (AI Workload Share, Effectiveness, Coverage, AI Skill, Control, AI Assets), each axis scored 0-5 against Required/Expected. It was piloted on BluePrint, CARIS and WebCash, and the criteria were refined and shared with teams for feedback. Still missing: objective indicators and data sources. Scores are self-assessed, and each project chose its own focus criteria. Source: SSC MC 16/04/2026 p4; AXC MC 03/07/2026 p2, p9; MoM AXC MC 28/08/2026 s5.</t>
  </si>
  <si>
    <t>Agree with HR who can see individual results and how they are used</t>
  </si>
  <si>
    <t>Input: The MC decided that AML will apply at individual level and feed KPI/evaluation and hiring criteria from 2027. HR cannot measure it, so AXC must provide the method. No agreement with HR on who sees individual results has been drafted. An earlier deck flagged the risk that people fear productivity-driven KPIs and avoid transparent AI use. Source: MoM AXC MC 28/08/2026 s5, Decision #5; SSC MC 06/02/2026 p7.</t>
  </si>
  <si>
    <t>Scoring guide</t>
  </si>
  <si>
    <t>Started: AI certification levels drafted (C1 Foundation Basic, C2 Working Advanced, C3 role track Dev/BC/QC, C4 badge); by 08/05 C1 and C2 were 'In Review', C3 TBD and C4 still being researched, and on 22/05 2 of 4 levels were reported complete. They are not yet aligned with AML: AML has only a project-level 'AI Skill' axis, and on 28/08 the MC asked for individual AML used in hiring (e.g. AML level 3+). The v2.4 plan marks C1-C4 as 'defined/Done', but the MC reports show only 2/4 complete. Source: SSC MC 16/04/2026 p6; SSC MC 08/05/2026 p7; SSC MC 22/05/2026 p2; AXC MC 28/08/2026 p8-11; MoM AXC MC 28/08/2026 s5.</t>
  </si>
  <si>
    <t>Input: AML scoring sheets exist for 3 pilot projects (Google Drive: AI Solution &gt; AI Maturity Level: BluePrint, WebCash-HRM, CARIS). No scoring or self-assessment guide has been written or published. Source: AXC MC 28/08/2026 p9-11; v2.4 notes T2 Management #13, #14.</t>
  </si>
  <si>
    <t>BOD approves the AML framework</t>
  </si>
  <si>
    <t>HR + function heads approve, after the AML framework is approved</t>
  </si>
  <si>
    <t>Input: Leadership direction at the MC: AML level 3 is enough for now, and it is an internal scale with criteria chosen per project. This is direction, not BOD approval of a framework. Source: MoM AXC MC 28/08/2026 Decision #6.</t>
  </si>
  <si>
    <t>Review and update the AML framework, confirmed by the BOD at the quarterly review</t>
  </si>
  <si>
    <t>Add role parts when standard workflows exist</t>
  </si>
  <si>
    <t>HR, function heads, Coordinator</t>
  </si>
  <si>
    <t>5.2</t>
  </si>
  <si>
    <t>AML cycles drive improvement</t>
  </si>
  <si>
    <t>Goal: AML scored every 6 months, with an improvement plan for every team below the bar.
Needs first: AML framework approved; Monthly usage data is stable; Function heads own the improvement actions; Rules for individual results agreed with HR
JD: 5.3</t>
  </si>
  <si>
    <t>Cycle 1 = baseline for team and company levels (from usage data), with gap list + improvement plans</t>
  </si>
  <si>
    <t>function heads</t>
  </si>
  <si>
    <t>Starts this month, then ongoing.</t>
  </si>
  <si>
    <t>Update every year</t>
  </si>
  <si>
    <t>Yearly</t>
  </si>
  <si>
    <t>4.2</t>
  </si>
  <si>
    <t>Input: A pilot AML round was self-assessed on 3 projects, with a gap list (Control below Required in all 3) and per-project action plans. Scores: CARIS 3.0/5 (5 of 6 axes), WebCash-HRM 2.4/5 (4 of 6), BluePrint 2.2/5 (4 of 6 on p8, 3 of 6 on p10). Conflicts: CARIS was 3.1/5 on 24/07, and the MoM records '&gt;3.5 (~3.54)' (auto-transcript), so use the 28/08 slides. This is not yet a team/company baseline from usage data; usage data exists for 46 accounts (19 non-dev + 27 dev). Source: AXC MC 28/08/2026 p8-11; AXC MC 24/07/2026 slides 4, 9; MoM AXC MC 28/08/2026 s5.</t>
  </si>
  <si>
    <t>Track improvement actions every month with function heads</t>
  </si>
  <si>
    <t>Training that continues after the course</t>
  </si>
  <si>
    <t>Goal: A training program that people apply in their daily work, followed up for 90 days after each course.
Needs first: HR has a schedule and sign-up channel; AI Usage Policy approved (for the Safe AI content)
JD: 4.3, 4.6</t>
  </si>
  <si>
    <t>Cycle 2, including the individual level</t>
  </si>
  <si>
    <t>Agree schedule, format and sign-up with HR</t>
  </si>
  <si>
    <t>HR/L&amp;D</t>
  </si>
  <si>
    <t>Input: The MC requires AML at individual level, not only project level, linked to KPI/evaluation from 2027. Source: MoM AXC MC 28/08/2026 s5, Decision #5.</t>
  </si>
  <si>
    <t>5.3</t>
  </si>
  <si>
    <t>Impact measured for pilots and company</t>
  </si>
  <si>
    <t>Goal: One method to measure the impact of AI on productivity, quality and working time, used for every pilot and for the company.
Needs first: Access to project data (Jira, Git, timesheets); Pilot projects chosen
JD: 1.4, 5.4</t>
  </si>
  <si>
    <t>Measurement method: metrics, baseline, comparison group, how to count time saved</t>
  </si>
  <si>
    <t>PMO, Finance</t>
  </si>
  <si>
    <t>With L&amp;D, AXC agreed on sharing format, delivery mode and material standards, and unified the document templates. As of 03/07, audience coverage, timeline and scheduling were still under review, no sign-up was recorded, and no later MC report updates this item. Source: AXC MC 03/07/2026 p10; SSC MC 22/05/2026 p2.</t>
  </si>
  <si>
    <t>Safe AI training for the pilot team, after the AI Usage Policy is approved</t>
  </si>
  <si>
    <t>Input: MC asked AXC for (1) a method to measure the AI-related part of KPI (other companies use &gt;=40%) for the 2027 HR evaluation and (2) expected productivity per AML level with an external benchmark (e.g. level 5 ~300%). Earlier figures are self-reported and use different metrics with no comparison group or time-saved rule: '30% overall productivity boost' (16/04), '~30-51%' effort reduction (22/05), HRM-X 27% baseline vs 52% actual with metric not stated (12/03). CV screening figures also conflict: 5-10 min to ~1 min per CV (07/08, TO-BE design), ~15 to ~5 min (28/08 p4), '~30% time saved' (MoM). The draft cost standard proposes cost per unit of completed work. Source: MoM AXC MC 28/08/2026 s3.1, s5, Actions #6, #8; SSC MC 12/03/2026 p7, p11; SSC MC 16/04/2026 p5; SSC MC 22/05/2026 p7; AXC MC 07/08/2026 p4; AXC MC 28/08/2026 p4; AI_Cost_Quota_Standard_by_Role.md R4.2.</t>
  </si>
  <si>
    <t>Result report after each pilot</t>
  </si>
  <si>
    <t>Company-level analysis of AI use vs. business results (1st)</t>
  </si>
  <si>
    <t>Safe AI + basic course company-wide; the basic course is the first step of the learning path</t>
  </si>
  <si>
    <t>Company-level analysis of AI use vs. business results (2nd)</t>
  </si>
  <si>
    <t>O6 - Safety &amp; Governance</t>
  </si>
  <si>
    <t>Basic course material is ready: 'AI Training Materials' was marked Done on 22/05 and C1 AI Foundation Basic was 'In Review' on 08/05. The question bank was still in progress, C1 delivery (planned for M6) is not recorded, and no Safe AI module exists. Source: SSC MC 22/05/2026 p5; SSC MC 08/05/2026 p7; SSC MC 16/04/2026 p6; v2.4 note (Drive: AI Solution &gt; AI Training Materials).</t>
  </si>
  <si>
    <t>Role workshops and labs</t>
  </si>
  <si>
    <t>HR/L&amp;D, Coordinator</t>
  </si>
  <si>
    <t>Starts this month, then ongoing. Input: role material exists but no workshops or labs have been run. This includes the Prompting Hub role templates for BA/Dev/Tester (v1 in internal testing in Apr 2026) and BA-SPEC-KIT v0.1 on Fine-Chemical. LSG plans to build common AI skills for BA &amp; QC first, and the MC asked to package the Hanoi BA case with training + AI drive (Action #7). Source: SSC MC 27/02/2026 p7-9; SSC MC 16/04/2026 p5; AXC MC 07/08/2026 p8-9; AXC MC 28/08/2026 p6; MoM AXC MC 28/08/2026 Action #7.</t>
  </si>
  <si>
    <t>Add Safe AI + basic course to new-hire onboarding</t>
  </si>
  <si>
    <t>What are the safety limits?</t>
  </si>
  <si>
    <t>30/60/90-day follow-up after each course</t>
  </si>
  <si>
    <t>Per course</t>
  </si>
  <si>
    <t>Year review, update materials</t>
  </si>
  <si>
    <t>6.1</t>
  </si>
  <si>
    <t>Governance: principles, decision table, partner roles</t>
  </si>
  <si>
    <t>Goal: Clear rules on who decides what for AI, and clear tasks for Security, IT, HR, Legal and function leaders.
Needs first: BOD sponsor; Each partner names a contact person
JD: 6.1, 6.5</t>
  </si>
  <si>
    <t>4.3</t>
  </si>
  <si>
    <t>Knowledge sharing from real work</t>
  </si>
  <si>
    <t>Draft principles + decision table</t>
  </si>
  <si>
    <t>Goal: A shared library of real work cases and a monthly sharing session.
Needs first: IT provides a shared space; A case from the first pilot
JD: 4.3, 4.4</t>
  </si>
  <si>
    <t>BOD, Security, IT, HR, Legal</t>
  </si>
  <si>
    <t>Case template + shared space</t>
  </si>
  <si>
    <t>AI leads, IT</t>
  </si>
  <si>
    <t>Input: the Prompting Hub was designed to hold 'internal real use cases' (v1 in internal testing). AXC proposes one PIC to collect and maintain AI templates and shared resources, and the ERP review found BA/QC/PM AI practices still personal, 'not yet published or reused'. No case template or shared space has been set up. Source: SSC MC 27/02/2026 p9; SSC MC 16/04/2026 p5; AI_Adoption_Summary_2Projects slide 1; AXC MC 07/08/2026 p6.</t>
  </si>
  <si>
    <t>Input: two TO-BE options for AI account requests were proposed (AXC as monitoring layer; GM/PM + AXC co-approval with probation paid by AXC). Draft standard AXC-STD-AI-001 v0.9 (17/09/2026, awaiting approval) has an approval table: Tier 1 none, Tier 2 PM approves and AXC is notified, Tier 3 PM proposes and AXC approves. The BOD briefing sets the data-access policy condition. These cover cost and account approval only, not AI-use principles. Source: AXC MC 03/07/2026 p6-7; AI_Cost_Quota_Standard_by_Role.md §6, R6.1-R6.2; AX_BOD_Briefing_EN slide 2.</t>
  </si>
  <si>
    <t>First case from the Engineering pilot report</t>
  </si>
  <si>
    <t>Agree tasks with Security, IT, HR, Legal and function leaders</t>
  </si>
  <si>
    <t>Input: earlier case write-ups exist, but none come from the Engineering pilot: 'AI in Practice - Two Projects' (BluePrint ~20% time saved per dev; HRM-Sambu ~35-40% gain, both self-reported) and the HRM-X and BluePrint AI Evidence Reports. The Hanoi BA dashboard case was recognised as best practice, to be packaged. Source: SSC MC 22/05/2026 p6, p11; MoM AXC MC 28/08/2026 s4, Decision #10, Action #7.</t>
  </si>
  <si>
    <t>Monthly sharing session; AI leads add cases</t>
  </si>
  <si>
    <t>BOD approves the principles and decision table, in the same BOD session as the strategy approval</t>
  </si>
  <si>
    <t>Starts this month, then ongoing. Input: sharing has happened ad hoc, with no monthly session: AI adoption content was presented at the 22/05 MC, material and use cases were shared with BP, and AXC worked alongside projects for 2 weeks. AI PICs are named (LSG 2, ESG 1) but there is no session schedule. Source: SSC MC 22/05/2026 p7-10; MoM AXC MC 28/08/2026 s3.3, s4; AXC MC 07/08/2026 p10.</t>
  </si>
  <si>
    <t>Review and update the principles and decision table, confirmed by the BOD at the quarterly review</t>
  </si>
  <si>
    <t>6.2</t>
  </si>
  <si>
    <t>AI Usage Policy</t>
  </si>
  <si>
    <t>Goal: One AI Usage Policy that tells staff which tools and data they may use, and protects client data, personal data and IP.
Needs first: Approver named in the decision table; Approved tool list in place (before BOD approval); Security and Legal name reviewers
JD: 6.2, 6.3</t>
  </si>
  <si>
    <t>Data categories (e.g. public, internal, confidential, personal), confirmed by Legal under the applicable law</t>
  </si>
  <si>
    <t>Security, Legal</t>
  </si>
  <si>
    <t>Input: a real personal-data case exists. The HR CV screening tool pulls candidate phone and email from CVs. CLT policy blocks auto-scripts on Drive files, and Blueprint/HR does not allow CV scanning. No data categories are defined yet. Source: AXC MC 07/08/2026 p4; AXC MC 28/08/2026 p4; MoM AXC MC 28/08/2026 s3.1.</t>
  </si>
  <si>
    <t>Draft policy</t>
  </si>
  <si>
    <t>Parts of the policy are drafted: the prohibited-actions policy (Cursor, Claude) and the overspend process, both drafted 17/09/2026 (reported by AXC Lead). Draft standard v0.9 adds rules that ban personal accounts (Claude Max, Claude Pro, ChatGPT Plus) for company work and require hard spending limits; data use rules are not covered yet. Source: AXC Lead 29/09/2026 (Drive: AI Solution &gt; AI security); AI_Cost_Quota_Standard_by_Role.md R7.1-R7.2.</t>
  </si>
  <si>
    <t>Legal and Security review the policy; BOD approves it</t>
  </si>
  <si>
    <t>Pilot team confirms reading the policy at the Safe AI training</t>
  </si>
  <si>
    <t>All staff confirm reading the policy at the Safe AI training</t>
  </si>
  <si>
    <t>AI permissions confirmed for pilot clients, with the Delivery head and Legal</t>
  </si>
  <si>
    <t>AI permissions recorded for all clients, with the Delivery head and Legal</t>
  </si>
  <si>
    <t>MEETING LOG - record of approvals, confirmations and reports</t>
  </si>
  <si>
    <t>Review and update the policy, confirmed by the BOD at the quarterly review</t>
  </si>
  <si>
    <t>6.3</t>
  </si>
  <si>
    <t>Add one row each time something is approved, confirmed, reported or deferred at a meeting. This is the written record of what was agreed, so decisions do not have to be rebuilt from memory later.</t>
  </si>
  <si>
    <t>Incident handling &amp; compliance checks</t>
  </si>
  <si>
    <t>1  HOW TO FILL THIS IN</t>
  </si>
  <si>
    <t>Goal: A working process to report and handle AI incidents, and regular checks that the policy is followed.
Needs first: AI Usage Policy issued; Security adds AI incidents to its current process
JD: 6.2, 6.3</t>
  </si>
  <si>
    <t>Reporting channel + handling process, ready before the first pilot</t>
  </si>
  <si>
    <t>One row per decision, not one row per meeting. If a meeting approves two things, that is two rows.</t>
  </si>
  <si>
    <t>Outcome says what happened: Approved, Confirmed, Reported (information only), Deferred, Rejected.</t>
  </si>
  <si>
    <t>Write what was actually said - keep the original wording.</t>
  </si>
  <si>
    <t>If the decision creates work, put it in Follow-up action with an owner and a due date, and set Status to Open. Change it to Done once closed.</t>
  </si>
  <si>
    <t>Input: one incident, an unauthorised $330 Claude 'Gift' charge, was handled ad hoc. An automated billing email flagged it and Anthropic confirmed a refund. An overspend process was drafted 17/09/2026, but no general AI incident channel exists. Source: SSC MC 08/05/2026 p6; AXC Lead 29/09/2026.</t>
  </si>
  <si>
    <t>Use role names rather than personal names in the Owner column.</t>
  </si>
  <si>
    <t>First compliance check</t>
  </si>
  <si>
    <t>2  LOG</t>
  </si>
  <si>
    <t>Date</t>
  </si>
  <si>
    <t>Meeting</t>
  </si>
  <si>
    <t>AI Transformation – Job Description</t>
  </si>
  <si>
    <t>Source of the objectives. 'Covered by' shows the objective detail that delivers each duty.</t>
  </si>
  <si>
    <t>Outcome</t>
  </si>
  <si>
    <t>Input: 15 Claude Max accounts are counted in use (out of 180), and draft rule R7.1 bans personal accounts including Claude Max for company work. These are the first items to check once the rule is approved. Source: AXC MC 28/08/2026 p7; AI_Cost_Quota_Standard_by_Role.md R7.1.</t>
  </si>
  <si>
    <t>What was decided or reported</t>
  </si>
  <si>
    <t>Ref</t>
  </si>
  <si>
    <t>Follow-up action</t>
  </si>
  <si>
    <t>Duty</t>
  </si>
  <si>
    <t>Owner (role)</t>
  </si>
  <si>
    <t>Covered by</t>
  </si>
  <si>
    <t>Check every quarter, including unapproved tools in use (with IT); results feed the policy update</t>
  </si>
  <si>
    <t>1. AI Transformation Strategy &amp; Roadmap</t>
  </si>
  <si>
    <t>Define and drive the company-wide AI Transformation Strategy and Roadmap, aligned with business priorities.</t>
  </si>
  <si>
    <t>2026-10-15</t>
  </si>
  <si>
    <t>Identify and prioritize high-impact AI use cases across Engineering, QA, BA, Project Management, Delivery, and Corporate Functions.</t>
  </si>
  <si>
    <t>1.1, 2.1, 2.2, 2.3</t>
  </si>
  <si>
    <t>1.3</t>
  </si>
  <si>
    <t>Go beyond tool adoption by redesigning work processes and ways of working around AI.</t>
  </si>
  <si>
    <t>2.1, 2.2, 2.3</t>
  </si>
  <si>
    <t>1.4</t>
  </si>
  <si>
    <t>Continuously evaluate the impact of AI on productivity, quality, working time, and operational effectiveness.</t>
  </si>
  <si>
    <t>1.5</t>
  </si>
  <si>
    <t>Work closely with senior leadership and functional leaders to translate transformation goals into actionable initiatives.</t>
  </si>
  <si>
    <t>2. AI-Enabled Process Transformation</t>
  </si>
  <si>
    <t>MC meeting</t>
  </si>
  <si>
    <t>Analyze existing workflows and identify opportunities where AI can improve productivity, quality, and efficiency.</t>
  </si>
  <si>
    <t>Design AI-enabled workflows for coding, code review, testing, documentation, requirements analysis, project management, reporting, and communication.</t>
  </si>
  <si>
    <t>Lead pilots with business and delivery teams to validate actual impact in real working environments.</t>
  </si>
  <si>
    <t>Convert proven use cases into repeatable best practices and standard workflows for company-wide adoption.</t>
  </si>
  <si>
    <t>2.5</t>
  </si>
  <si>
    <t>Approved</t>
  </si>
  <si>
    <t>Focus on measurable business outcomes rather than AI adoption for its own sake.</t>
  </si>
  <si>
    <t>EXAMPLE ROW - delete before use.  AI strategy and 12-month roadmap approved; asked to start with the Engineering pilot.</t>
  </si>
  <si>
    <t>Fix quarterly review dates</t>
  </si>
  <si>
    <t>3. AI Tool Evaluation &amp; Adoption</t>
  </si>
  <si>
    <t>2026-10-31</t>
  </si>
  <si>
    <t>Continuously evaluate external AI tools and services, including solutions such as ChatGPT, Claude, GitHub Copilot, and Cursor.</t>
  </si>
  <si>
    <t>Open</t>
  </si>
  <si>
    <t>Assess tools based on business applicability, productivity impact, user experience, cost, information security, and data protection.</t>
  </si>
  <si>
    <t>Lead pilots and Proof-of-Value initiatives, and define the appropriate tools and usage models by function and role.</t>
  </si>
  <si>
    <t>3.1, 3.2</t>
  </si>
  <si>
    <t>3.4</t>
  </si>
  <si>
    <t>Manage licenses and usage, and analyze adoption and impact relative to cost.</t>
  </si>
  <si>
    <t>3.2, 3.3</t>
  </si>
  <si>
    <t>3.5</t>
  </si>
  <si>
    <t>Prioritize external tools while assessing internal AI infrastructure only when justified by security, cost, integration, or strategic needs.</t>
  </si>
  <si>
    <t>4. Workforce AI Capability Development</t>
  </si>
  <si>
    <t>Develop and operate a company-wide AI Capability Development Program.</t>
  </si>
  <si>
    <t>Define role-based AI competencies and practical learning paths for employees.</t>
  </si>
  <si>
    <t>Deliver training, workshops, hands-on programs, and internal knowledge-sharing mechanisms.</t>
  </si>
  <si>
    <t>4.2, 4.3</t>
  </si>
  <si>
    <t>4.4</t>
  </si>
  <si>
    <t>Capture and disseminate best practices grounded in real work cases.</t>
  </si>
  <si>
    <t>4.5</t>
  </si>
  <si>
    <t>Develop AI Champions or Power Users who can accelerate adoption within their teams.</t>
  </si>
  <si>
    <t>4.6</t>
  </si>
  <si>
    <t>Drive sustained adoption so employees use AI as part of their everyday work, rather than treating training as a one-time activity.</t>
  </si>
  <si>
    <t>5. AI Maturity Management</t>
  </si>
  <si>
    <t>Own the definition, measurement, management, and continuous improvement of the company's AI Maturity Level (AML).</t>
  </si>
  <si>
    <t>Establish objective measurement frameworks and indicators for AI adoption and capability across individuals, teams, and the organization.</t>
  </si>
  <si>
    <t>Track adoption and capability levels, identify improvement areas, and drive targeted actions.</t>
  </si>
  <si>
    <t>5.4</t>
  </si>
  <si>
    <t>Analyze the relationship between AI usage and actual business performance.</t>
  </si>
  <si>
    <t>5.5</t>
  </si>
  <si>
    <t>Provide regular progress, insight, and recommendations to senior management and relevant stakeholders.</t>
  </si>
  <si>
    <t>6. AI Governance &amp; Sustainable Adoption</t>
  </si>
  <si>
    <t>Establish company-wide principles and governance for responsible AI use.</t>
  </si>
  <si>
    <t>Create a safe adoption environment that addresses information security, data privacy, intellectual property, and client confidentiality.</t>
  </si>
  <si>
    <t>6.2, 6.3</t>
  </si>
  <si>
    <t>Maintain standards for approved tools and permitted usage.</t>
  </si>
  <si>
    <t>6.4</t>
  </si>
  <si>
    <t>Implement monitoring for AI licenses, usage, and cost.</t>
  </si>
  <si>
    <t>6.5</t>
  </si>
  <si>
    <t>Partner with Security, IT, HR, and business leaders to make AI adoption sustainable at scale.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</si>
</sst>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yyyy"/>
  </numFmts>
  <fonts count="13">
    <font>
      <sz val="11.0"/>
      <color theme="1"/>
      <name val="Arial"/>
      <scheme val="minor"/>
    </font>
    <font>
      <b/>
      <sz val="16.0"/>
      <color rgb="FF1F4E79"/>
      <name val="Arial"/>
    </font>
    <font>
      <i/>
      <sz val="9.0"/>
      <color rgb="FF595959"/>
      <name val="Arial"/>
    </font>
    <font>
      <b/>
      <sz val="10.0"/>
      <color rgb="FF000000"/>
      <name val="Arial"/>
    </font>
    <font>
      <b/>
      <sz val="10.0"/>
      <color rgb="FF0000FF"/>
      <name val="Arial"/>
    </font>
    <font>
      <b/>
      <sz val="11.0"/>
      <color rgb="FF2E74B5"/>
      <name val="Arial"/>
    </font>
    <font>
      <b/>
      <sz val="14.0"/>
      <color rgb="FF1F4E79"/>
      <name val="Arial"/>
    </font>
    <font>
      <sz val="10.0"/>
      <color rgb="FF000000"/>
      <name val="Arial"/>
    </font>
    <font>
      <b/>
      <sz val="9.0"/>
      <color rgb="FF000000"/>
      <name val="Arial"/>
    </font>
    <font/>
    <font>
      <sz val="9.0"/>
      <color rgb="FF000000"/>
      <name val="Arial"/>
    </font>
    <font>
      <sz val="11.0"/>
      <color theme="1"/>
      <name val="Calibri"/>
    </font>
    <font>
      <i/>
      <sz val="9.0"/>
      <color rgb="FF808080"/>
      <name val="Arial"/>
    </font>
  </fonts>
  <fills count="5">
    <fill>
      <patternFill patternType="none"/>
    </fill>
    <fill>
      <patternFill patternType="lightGray"/>
    </fill>
    <fill>
      <patternFill patternType="solid">
        <fgColor rgb="FFFFF2CC"/>
        <bgColor rgb="FFFFF2CC"/>
      </patternFill>
    </fill>
    <fill>
      <patternFill patternType="solid">
        <fgColor rgb="FFD9E2F3"/>
        <bgColor rgb="FFD9E2F3"/>
      </patternFill>
    </fill>
    <fill>
      <patternFill patternType="solid">
        <fgColor rgb="FFBDD7EE"/>
        <bgColor rgb="FFBDD7EE"/>
      </patternFill>
    </fill>
  </fills>
  <borders count="8">
    <border/>
    <border>
      <left style="thin">
        <color rgb="FFBFBFBF"/>
      </left>
      <right style="thin">
        <color rgb="FFBFBFBF"/>
      </right>
      <top style="thin">
        <color rgb="FFBFBFBF"/>
      </top>
      <bottom style="thin">
        <color rgb="FFBFBFBF"/>
      </bottom>
    </border>
    <border>
      <left/>
      <top/>
      <bottom/>
    </border>
    <border>
      <right/>
      <top/>
      <bottom/>
    </border>
    <border>
      <left/>
      <right/>
      <top/>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164" xfId="0" applyAlignment="1" applyBorder="1" applyFill="1" applyFont="1" applyNumberFormat="1">
      <alignment horizontal="left" shrinkToFit="0" vertical="bottom" wrapText="0"/>
    </xf>
    <xf borderId="0" fillId="0" fontId="5" numFmtId="0" xfId="0" applyAlignment="1" applyFont="1">
      <alignment shrinkToFit="0" vertical="bottom" wrapText="0"/>
    </xf>
    <xf borderId="0" fillId="0" fontId="6" numFmtId="0" xfId="0" applyAlignment="1" applyFont="1">
      <alignment shrinkToFit="0" vertical="bottom" wrapText="0"/>
    </xf>
    <xf borderId="0" fillId="0" fontId="7" numFmtId="0" xfId="0" applyAlignment="1" applyFont="1">
      <alignment shrinkToFit="0" vertical="bottom" wrapText="0"/>
    </xf>
    <xf borderId="0" fillId="0" fontId="3" numFmtId="0" xfId="0" applyAlignment="1" applyFont="1">
      <alignment shrinkToFit="0" vertical="top" wrapText="1"/>
    </xf>
    <xf borderId="0" fillId="0" fontId="7" numFmtId="0" xfId="0" applyAlignment="1" applyFont="1">
      <alignment shrinkToFit="0" vertical="top" wrapText="1"/>
    </xf>
    <xf borderId="2" fillId="3" fontId="8" numFmtId="0" xfId="0" applyAlignment="1" applyBorder="1" applyFill="1" applyFont="1">
      <alignment shrinkToFit="0" vertical="bottom" wrapText="0"/>
    </xf>
    <xf borderId="3" fillId="0" fontId="9" numFmtId="0" xfId="0" applyBorder="1" applyFont="1"/>
    <xf borderId="1" fillId="3" fontId="8" numFmtId="0" xfId="0" applyAlignment="1" applyBorder="1" applyFill="1" applyFont="1">
      <alignment horizontal="center" shrinkToFit="0" vertical="top" wrapText="1"/>
    </xf>
    <xf borderId="4" fillId="3" fontId="8" numFmtId="0" xfId="0" applyAlignment="1" applyBorder="1" applyFill="1" applyFont="1">
      <alignment shrinkToFit="0" vertical="bottom" wrapText="0"/>
    </xf>
    <xf borderId="1" fillId="0" fontId="3" numFmtId="0" xfId="0" applyAlignment="1" applyBorder="1" applyFont="1">
      <alignment horizontal="center" shrinkToFit="0" vertical="top" wrapText="1"/>
    </xf>
    <xf borderId="1" fillId="0" fontId="3" numFmtId="0" xfId="0" applyAlignment="1" applyBorder="1" applyFont="1">
      <alignment shrinkToFit="0" vertical="top" wrapText="1"/>
    </xf>
    <xf borderId="1" fillId="0" fontId="7" numFmtId="0" xfId="0" applyAlignment="1" applyBorder="1" applyFont="1">
      <alignment shrinkToFit="0" vertical="top" wrapText="1"/>
    </xf>
    <xf borderId="1" fillId="2" fontId="7" numFmtId="0" xfId="0" applyAlignment="1" applyBorder="1" applyFill="1" applyFont="1">
      <alignment shrinkToFit="0" vertical="bottom" wrapText="0"/>
    </xf>
    <xf borderId="1" fillId="0" fontId="7" numFmtId="0" xfId="0" applyAlignment="1" applyBorder="1" applyFont="1">
      <alignment horizontal="center" shrinkToFit="0" vertical="top" wrapText="1"/>
    </xf>
    <xf borderId="1" fillId="0" fontId="7" numFmtId="9" xfId="0" applyAlignment="1" applyBorder="1" applyFont="1" applyNumberFormat="1">
      <alignment horizontal="center" shrinkToFit="0" vertical="top" wrapText="1"/>
    </xf>
    <xf borderId="5" fillId="4" fontId="3" numFmtId="0" xfId="0" applyAlignment="1" applyBorder="1" applyFill="1" applyFont="1">
      <alignment horizontal="center" shrinkToFit="0" vertical="top" wrapText="1"/>
    </xf>
    <xf borderId="6" fillId="0" fontId="9" numFmtId="0" xfId="0" applyBorder="1" applyFont="1"/>
    <xf borderId="1" fillId="4" fontId="3" numFmtId="0" xfId="0" applyAlignment="1" applyBorder="1" applyFill="1" applyFont="1">
      <alignment shrinkToFit="0" vertical="top" wrapText="1"/>
    </xf>
    <xf borderId="5" fillId="4" fontId="10" numFmtId="0" xfId="0" applyAlignment="1" applyBorder="1" applyFill="1" applyFont="1">
      <alignment shrinkToFit="0" vertical="top" wrapText="1"/>
    </xf>
    <xf borderId="7" fillId="0" fontId="9" numFmtId="0" xfId="0" applyBorder="1" applyFont="1"/>
    <xf borderId="1" fillId="0" fontId="10" numFmtId="0" xfId="0" applyAlignment="1" applyBorder="1" applyFont="1">
      <alignment horizontal="center" shrinkToFit="0" vertical="top" wrapText="1"/>
    </xf>
    <xf borderId="1" fillId="0" fontId="10" numFmtId="0" xfId="0" applyAlignment="1" applyBorder="1" applyFont="1">
      <alignment shrinkToFit="0" vertical="top" wrapText="1"/>
    </xf>
    <xf borderId="1" fillId="0" fontId="10" numFmtId="164" xfId="0" applyAlignment="1" applyBorder="1" applyFont="1" applyNumberFormat="1">
      <alignment horizontal="center" shrinkToFit="0" vertical="top" wrapText="1"/>
    </xf>
    <xf borderId="1" fillId="2" fontId="10" numFmtId="0" xfId="0" applyAlignment="1" applyBorder="1" applyFill="1" applyFont="1">
      <alignment horizontal="center" shrinkToFit="0" vertical="top" wrapText="1"/>
    </xf>
    <xf borderId="1" fillId="2" fontId="10" numFmtId="9" xfId="0" applyAlignment="1" applyBorder="1" applyFill="1" applyFont="1" applyNumberFormat="1">
      <alignment horizontal="center" shrinkToFit="0" vertical="top" wrapText="1"/>
    </xf>
    <xf borderId="1" fillId="2" fontId="10" numFmtId="0" xfId="0" applyAlignment="1" applyBorder="1" applyFill="1" applyFont="1">
      <alignment shrinkToFit="0" vertical="top" wrapText="1"/>
    </xf>
    <xf borderId="1" fillId="3" fontId="11" numFmtId="0" xfId="0" applyAlignment="1" applyBorder="1" applyFill="1" applyFont="1">
      <alignment shrinkToFit="0" vertical="top" wrapText="1"/>
    </xf>
    <xf borderId="1" fillId="3" fontId="3" numFmtId="0" xfId="0" applyAlignment="1" applyBorder="1" applyFill="1" applyFont="1">
      <alignment shrinkToFit="0" vertical="top" wrapText="1"/>
    </xf>
    <xf borderId="1" fillId="3" fontId="3" numFmtId="0" xfId="0" applyAlignment="1" applyBorder="1" applyFill="1" applyFont="1">
      <alignment horizontal="center" shrinkToFit="0" vertical="top" wrapText="1"/>
    </xf>
    <xf borderId="1" fillId="0" fontId="11" numFmtId="0" xfId="0" applyAlignment="1" applyBorder="1" applyFont="1">
      <alignment shrinkToFit="0" vertical="bottom" wrapText="0"/>
    </xf>
    <xf borderId="1" fillId="2" fontId="11" numFmtId="0" xfId="0" applyAlignment="1" applyBorder="1" applyFill="1" applyFont="1">
      <alignment shrinkToFit="0" vertical="bottom" wrapText="0"/>
    </xf>
    <xf borderId="1" fillId="2" fontId="11" numFmtId="9" xfId="0" applyAlignment="1" applyBorder="1" applyFill="1" applyFont="1" applyNumberFormat="1">
      <alignment shrinkToFit="0" vertical="bottom" wrapText="0"/>
    </xf>
    <xf borderId="1" fillId="3" fontId="3" numFmtId="9" xfId="0" applyAlignment="1" applyBorder="1" applyFill="1" applyFont="1" applyNumberFormat="1">
      <alignment horizontal="center" shrinkToFit="0" vertical="top" wrapText="1"/>
    </xf>
    <xf borderId="5" fillId="3" fontId="8" numFmtId="0" xfId="0" applyAlignment="1" applyBorder="1" applyFill="1" applyFont="1">
      <alignment shrinkToFit="0" vertical="bottom" wrapText="0"/>
    </xf>
    <xf borderId="1" fillId="3" fontId="11" numFmtId="0" xfId="0" applyAlignment="1" applyBorder="1" applyFill="1" applyFont="1">
      <alignment horizontal="center" shrinkToFit="0" vertical="top" wrapText="1"/>
    </xf>
    <xf borderId="1" fillId="3" fontId="3" numFmtId="0" xfId="0" applyAlignment="1" applyBorder="1" applyFill="1" applyFont="1">
      <alignment shrinkToFit="0" vertical="bottom" wrapText="0"/>
    </xf>
    <xf borderId="1" fillId="3" fontId="10" numFmtId="0" xfId="0" applyAlignment="1" applyBorder="1" applyFill="1" applyFont="1">
      <alignment shrinkToFit="0" vertical="bottom" wrapText="0"/>
    </xf>
    <xf borderId="0" fillId="0" fontId="8" numFmtId="0" xfId="0" applyAlignment="1" applyFont="1">
      <alignment horizontal="center" shrinkToFit="0" vertical="top" wrapText="1"/>
    </xf>
    <xf borderId="1" fillId="3" fontId="11" numFmtId="0" xfId="0" applyAlignment="1" applyBorder="1" applyFill="1" applyFont="1">
      <alignment shrinkToFit="0" vertical="bottom" wrapText="0"/>
    </xf>
    <xf borderId="1" fillId="3" fontId="8" numFmtId="0" xfId="0" applyAlignment="1" applyBorder="1" applyFill="1" applyFont="1">
      <alignment shrinkToFit="0" vertical="bottom" wrapText="0"/>
    </xf>
    <xf borderId="1" fillId="3" fontId="3" numFmtId="9" xfId="0" applyAlignment="1" applyBorder="1" applyFill="1" applyFont="1" applyNumberFormat="1">
      <alignment shrinkToFit="0" vertical="bottom" wrapText="0"/>
    </xf>
    <xf borderId="0" fillId="0" fontId="10" numFmtId="0" xfId="0" applyAlignment="1" applyFont="1">
      <alignment shrinkToFit="0" vertical="top" wrapText="1"/>
    </xf>
    <xf borderId="0" fillId="0" fontId="8" numFmtId="0" xfId="0" applyAlignment="1" applyFont="1">
      <alignment shrinkToFit="0" vertical="bottom" wrapText="0"/>
    </xf>
    <xf borderId="5" fillId="4" fontId="3" numFmtId="0" xfId="0" applyAlignment="1" applyBorder="1" applyFill="1" applyFont="1">
      <alignment shrinkToFit="0" vertical="bottom" wrapText="0"/>
    </xf>
    <xf borderId="1" fillId="0" fontId="12" numFmtId="0" xfId="0" applyAlignment="1" applyBorder="1" applyFont="1">
      <alignment horizontal="center" shrinkToFit="0" vertical="top" wrapText="1"/>
    </xf>
    <xf borderId="1" fillId="0" fontId="1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6.13"/>
    <col customWidth="1" min="2" max="2" width="22.75"/>
    <col customWidth="1" min="3" max="3" width="61.25"/>
    <col customWidth="1" min="4" max="4" width="22.75"/>
    <col customWidth="1" min="5" max="5" width="10.5"/>
    <col customWidth="1" min="6" max="6" width="9.63"/>
    <col customWidth="1" min="7" max="7" width="11.38"/>
    <col customWidth="1" min="8" max="26" width="7.63"/>
  </cols>
  <sheetData>
    <row r="1">
      <c r="A1" s="1" t="s">
        <v>0</v>
      </c>
    </row>
    <row r="2">
      <c r="A2" s="2" t="s">
        <v>1</v>
      </c>
    </row>
    <row r="4">
      <c r="A4" s="3" t="s">
        <v>2</v>
      </c>
      <c r="C4" s="4">
        <v>46296.0</v>
      </c>
      <c r="D4" s="2" t="s">
        <v>3</v>
      </c>
    </row>
    <row r="6">
      <c r="A6" s="5" t="s">
        <v>4</v>
      </c>
    </row>
    <row r="7">
      <c r="A7" s="3" t="s">
        <v>6</v>
      </c>
      <c r="C7" s="7" t="s">
        <v>7</v>
      </c>
    </row>
    <row r="8" ht="43.5" customHeight="1">
      <c r="A8" s="8" t="s">
        <v>8</v>
      </c>
      <c r="C8" s="9" t="s">
        <v>10</v>
      </c>
    </row>
    <row r="10">
      <c r="A10" s="5" t="s">
        <v>11</v>
      </c>
    </row>
    <row r="11">
      <c r="A11" s="12" t="s">
        <v>12</v>
      </c>
      <c r="B11" s="12" t="s">
        <v>15</v>
      </c>
      <c r="C11" s="12" t="s">
        <v>16</v>
      </c>
      <c r="D11" s="12" t="s">
        <v>9</v>
      </c>
      <c r="E11" s="12" t="s">
        <v>17</v>
      </c>
      <c r="F11" s="12" t="s">
        <v>18</v>
      </c>
      <c r="G11" s="12" t="s">
        <v>14</v>
      </c>
    </row>
    <row r="12" ht="30.0" customHeight="1">
      <c r="A12" s="14" t="s">
        <v>19</v>
      </c>
      <c r="B12" s="15" t="s">
        <v>20</v>
      </c>
      <c r="C12" s="16" t="s">
        <v>21</v>
      </c>
      <c r="D12" s="16" t="s">
        <v>13</v>
      </c>
      <c r="E12" s="18" t="str">
        <f>'O1 Strategy'!$D$21&amp;" of "&amp;COUNTA('O1 Strategy'!$B$10:$B$20)</f>
        <v>0 of 7</v>
      </c>
      <c r="F12" s="19">
        <f>'O1 Strategy'!$H$21</f>
        <v>0</v>
      </c>
      <c r="G12" s="18" t="str">
        <f>IF('O1 Strategy'!$G$2="","Not started",'O1 Strategy'!$G$2)</f>
        <v>Not started</v>
      </c>
    </row>
    <row r="13" ht="42.0" customHeight="1">
      <c r="A13" s="14" t="s">
        <v>44</v>
      </c>
      <c r="B13" s="15" t="s">
        <v>45</v>
      </c>
      <c r="C13" s="16" t="s">
        <v>41</v>
      </c>
      <c r="D13" s="16" t="s">
        <v>26</v>
      </c>
      <c r="E13" s="18" t="str">
        <f>'O2 Process'!$D$37&amp;" of "&amp;COUNTA('O2 Process'!$B$10:$B$36)</f>
        <v>0 of 21</v>
      </c>
      <c r="F13" s="19">
        <f>'O2 Process'!$H$37</f>
        <v>0</v>
      </c>
      <c r="G13" s="18" t="str">
        <f>IF('O2 Process'!$G$2="","Not started",'O2 Process'!$G$2)</f>
        <v>Not started</v>
      </c>
    </row>
    <row r="14" ht="54.75" customHeight="1">
      <c r="A14" s="14" t="s">
        <v>50</v>
      </c>
      <c r="B14" s="15" t="s">
        <v>53</v>
      </c>
      <c r="C14" s="16" t="s">
        <v>46</v>
      </c>
      <c r="D14" s="16" t="s">
        <v>35</v>
      </c>
      <c r="E14" s="18" t="str">
        <f>'O3 Tools'!$D$30&amp;" of "&amp;COUNTA('O3 Tools'!$B$10:$B$29)</f>
        <v>0 of 15</v>
      </c>
      <c r="F14" s="19">
        <f>'O3 Tools'!$H$30</f>
        <v>0</v>
      </c>
      <c r="G14" s="18" t="str">
        <f>IF('O3 Tools'!$G$2="","Not started",'O3 Tools'!$G$2)</f>
        <v>Not started</v>
      </c>
    </row>
    <row r="15" ht="42.0" customHeight="1">
      <c r="A15" s="14" t="s">
        <v>63</v>
      </c>
      <c r="B15" s="15" t="s">
        <v>64</v>
      </c>
      <c r="C15" s="16" t="s">
        <v>66</v>
      </c>
      <c r="D15" s="16" t="s">
        <v>67</v>
      </c>
      <c r="E15" s="18" t="str">
        <f>'O4 People'!$D$29&amp;" of "&amp;COUNTA('O4 People'!$B$10:$B$28)</f>
        <v>0 of 14</v>
      </c>
      <c r="F15" s="19">
        <f>'O4 People'!$H$29</f>
        <v>0</v>
      </c>
      <c r="G15" s="18" t="str">
        <f>IF('O4 People'!$G$2="","Not started",'O4 People'!$G$2)</f>
        <v>Not started</v>
      </c>
    </row>
    <row r="16" ht="42.0" customHeight="1">
      <c r="A16" s="14" t="s">
        <v>68</v>
      </c>
      <c r="B16" s="15" t="s">
        <v>69</v>
      </c>
      <c r="C16" s="16" t="s">
        <v>70</v>
      </c>
      <c r="D16" s="16" t="s">
        <v>13</v>
      </c>
      <c r="E16" s="18" t="str">
        <f>'O5 Measurement'!$D$27&amp;" of "&amp;COUNTA('O5 Measurement'!$B$10:$B$26)</f>
        <v>0 of 12</v>
      </c>
      <c r="F16" s="19">
        <f>'O5 Measurement'!$H$27</f>
        <v>0</v>
      </c>
      <c r="G16" s="18" t="str">
        <f>IF('O5 Measurement'!$G$2="","Not started",'O5 Measurement'!$G$2)</f>
        <v>Not started</v>
      </c>
    </row>
    <row r="17" ht="42.0" customHeight="1">
      <c r="A17" s="14" t="s">
        <v>75</v>
      </c>
      <c r="B17" s="15" t="s">
        <v>76</v>
      </c>
      <c r="C17" s="16" t="s">
        <v>77</v>
      </c>
      <c r="D17" s="16" t="s">
        <v>78</v>
      </c>
      <c r="E17" s="18" t="str">
        <f>'O6 Governance'!$D$30&amp;" of "&amp;COUNTA('O6 Governance'!$B$10:$B$29)</f>
        <v>0 of 15</v>
      </c>
      <c r="F17" s="19">
        <f>'O6 Governance'!$H$30</f>
        <v>0</v>
      </c>
      <c r="G17" s="18" t="str">
        <f>IF('O6 Governance'!$G$2="","Not started",'O6 Governance'!$G$2)</f>
        <v>Not started</v>
      </c>
    </row>
    <row r="18">
      <c r="A18" s="31"/>
      <c r="B18" s="32" t="s">
        <v>92</v>
      </c>
      <c r="C18" s="31"/>
      <c r="D18" s="31"/>
      <c r="E18" s="33" t="str">
        <f>('O1 Strategy'!$D$21+'O2 Process'!$D$37+'O3 Tools'!$D$30+'O4 People'!$D$29+'O5 Measurement'!$D$27+'O6 Governance'!$D$30)&amp;" of "&amp;(COUNTA('O1 Strategy'!$B$10:$B$20)+COUNTA('O2 Process'!$B$10:$B$36)+COUNTA('O3 Tools'!$B$10:$B$29)+COUNTA('O4 People'!$B$10:$B$28)+COUNTA('O5 Measurement'!$B$10:$B$26)+COUNTA('O6 Governance'!$B$10:$B$29))</f>
        <v>0 of 84</v>
      </c>
      <c r="F18" s="37">
        <f>IFERROR((SUM('O1 Strategy'!$H$10:$H$20)+SUM('O2 Process'!$H$10:$H$36)+SUM('O3 Tools'!$H$10:$H$29)+SUM('O4 People'!$H$10:$H$28)+SUM('O5 Measurement'!$H$10:$H$26)+SUM('O6 Governance'!$H$10:$H$29))/(COUNTA('O1 Strategy'!$B$10:$B$20)+COUNTA('O2 Process'!$B$10:$B$36)+COUNTA('O3 Tools'!$B$10:$B$29)+COUNTA('O4 People'!$B$10:$B$28)+COUNTA('O5 Measurement'!$B$10:$B$26)+COUNTA('O6 Governance'!$B$10:$B$29)),0)</f>
        <v>0</v>
      </c>
      <c r="G18" s="39"/>
    </row>
    <row r="20">
      <c r="A20" s="5" t="s">
        <v>131</v>
      </c>
    </row>
    <row r="21" ht="15.0" customHeight="1">
      <c r="A21" s="7" t="s">
        <v>133</v>
      </c>
      <c r="B21" s="9" t="s">
        <v>134</v>
      </c>
    </row>
    <row r="22" ht="15.0" customHeight="1">
      <c r="A22" s="7" t="s">
        <v>133</v>
      </c>
      <c r="B22" s="9" t="s">
        <v>135</v>
      </c>
    </row>
    <row r="23" ht="15.0" customHeight="1">
      <c r="A23" s="7" t="s">
        <v>133</v>
      </c>
      <c r="B23" s="9" t="s">
        <v>137</v>
      </c>
    </row>
    <row r="24" ht="15.0" customHeight="1">
      <c r="A24" s="7" t="s">
        <v>133</v>
      </c>
      <c r="B24" s="9" t="s">
        <v>138</v>
      </c>
    </row>
    <row r="25" ht="15.0" customHeight="1">
      <c r="A25" s="7" t="s">
        <v>133</v>
      </c>
      <c r="B25" s="9" t="s">
        <v>139</v>
      </c>
    </row>
    <row r="26" ht="15.0" customHeight="1">
      <c r="A26" s="7" t="s">
        <v>133</v>
      </c>
      <c r="B26" s="9" t="s">
        <v>142</v>
      </c>
    </row>
    <row r="27" ht="15.0" customHeight="1">
      <c r="A27" s="7" t="s">
        <v>133</v>
      </c>
      <c r="B27" s="9" t="s">
        <v>143</v>
      </c>
    </row>
    <row r="28" ht="15.75" customHeight="1"/>
    <row r="29" ht="15.75" customHeight="1">
      <c r="A29" s="5" t="s">
        <v>145</v>
      </c>
    </row>
    <row r="30" ht="15.0" customHeight="1">
      <c r="A30" s="42">
        <v>1.0</v>
      </c>
      <c r="B30" s="9" t="s">
        <v>147</v>
      </c>
    </row>
    <row r="31" ht="15.0" customHeight="1">
      <c r="A31" s="42">
        <v>2.0</v>
      </c>
      <c r="B31" s="9" t="s">
        <v>150</v>
      </c>
    </row>
    <row r="32" ht="15.0" customHeight="1">
      <c r="A32" s="42">
        <v>3.0</v>
      </c>
      <c r="B32" s="9" t="s">
        <v>152</v>
      </c>
    </row>
    <row r="33" ht="15.0" customHeight="1">
      <c r="A33" s="42">
        <v>4.0</v>
      </c>
      <c r="B33" s="9" t="s">
        <v>153</v>
      </c>
    </row>
    <row r="34" ht="15.0" customHeight="1">
      <c r="A34" s="42">
        <v>5.0</v>
      </c>
      <c r="B34" s="9" t="s">
        <v>156</v>
      </c>
    </row>
    <row r="35" ht="15.75" customHeight="1"/>
    <row r="36" ht="15.75" customHeight="1">
      <c r="A36" s="5" t="s">
        <v>157</v>
      </c>
    </row>
    <row r="37" ht="15.75" customHeight="1">
      <c r="A37" s="3" t="s">
        <v>158</v>
      </c>
      <c r="C37" s="7" t="s">
        <v>159</v>
      </c>
    </row>
    <row r="38" ht="15.75" customHeight="1">
      <c r="A38" s="3" t="s">
        <v>160</v>
      </c>
      <c r="C38" s="7" t="s">
        <v>161</v>
      </c>
    </row>
    <row r="39" ht="15.75" customHeight="1">
      <c r="A39" s="3" t="s">
        <v>162</v>
      </c>
      <c r="C39" s="7" t="s">
        <v>163</v>
      </c>
    </row>
    <row r="40" ht="15.75" customHeight="1">
      <c r="A40" s="3" t="s">
        <v>164</v>
      </c>
      <c r="C40" s="7" t="s">
        <v>165</v>
      </c>
    </row>
    <row r="41" ht="15.75" customHeight="1">
      <c r="A41" s="3" t="s">
        <v>166</v>
      </c>
      <c r="C41" s="7" t="s">
        <v>167</v>
      </c>
    </row>
    <row r="42" ht="15.75" customHeight="1">
      <c r="A42" s="3" t="s">
        <v>168</v>
      </c>
      <c r="C42" s="7" t="s">
        <v>169</v>
      </c>
    </row>
    <row r="43" ht="93.0" customHeight="1">
      <c r="A43" s="8" t="s">
        <v>171</v>
      </c>
      <c r="C43" s="46" t="s">
        <v>173</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D4:G4"/>
    <mergeCell ref="A8:B8"/>
    <mergeCell ref="C8:G8"/>
    <mergeCell ref="B21:G21"/>
    <mergeCell ref="B22:G22"/>
    <mergeCell ref="B23:G23"/>
    <mergeCell ref="B24:G24"/>
    <mergeCell ref="B34:G34"/>
    <mergeCell ref="C43:G43"/>
    <mergeCell ref="B25:G25"/>
    <mergeCell ref="B26:G26"/>
    <mergeCell ref="B27:G27"/>
    <mergeCell ref="B30:G30"/>
    <mergeCell ref="B31:G31"/>
    <mergeCell ref="B32:G32"/>
    <mergeCell ref="B33:G33"/>
  </mergeCell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4.38"/>
    <col customWidth="1" min="2" max="2" width="7.88"/>
    <col customWidth="1" min="3" max="3" width="50.75"/>
    <col customWidth="1" min="4" max="4" width="13.13"/>
    <col customWidth="1" min="5" max="5" width="21.0"/>
    <col customWidth="1" min="6" max="6" width="9.63"/>
    <col customWidth="1" min="7" max="7" width="11.38"/>
    <col customWidth="1" min="8" max="8" width="7.0"/>
    <col customWidth="1" min="9" max="9" width="26.25"/>
    <col customWidth="1" min="10" max="10" width="42.0"/>
    <col customWidth="1" min="11" max="26" width="7.63"/>
  </cols>
  <sheetData>
    <row r="1">
      <c r="A1" s="6" t="s">
        <v>5</v>
      </c>
    </row>
    <row r="2">
      <c r="A2" s="10" t="s">
        <v>9</v>
      </c>
      <c r="B2" s="11"/>
      <c r="C2" s="7" t="s">
        <v>13</v>
      </c>
      <c r="F2" s="13" t="s">
        <v>14</v>
      </c>
      <c r="G2" s="17" t="s">
        <v>23</v>
      </c>
    </row>
    <row r="3">
      <c r="A3" s="2" t="s">
        <v>24</v>
      </c>
    </row>
    <row r="5">
      <c r="A5" s="5" t="s">
        <v>25</v>
      </c>
    </row>
    <row r="6" ht="30.0" customHeight="1">
      <c r="A6" s="9" t="s">
        <v>21</v>
      </c>
    </row>
    <row r="8">
      <c r="A8" s="5" t="s">
        <v>27</v>
      </c>
    </row>
    <row r="9">
      <c r="A9" s="12" t="s">
        <v>29</v>
      </c>
      <c r="B9" s="12" t="s">
        <v>30</v>
      </c>
      <c r="C9" s="12" t="s">
        <v>31</v>
      </c>
      <c r="D9" s="12" t="s">
        <v>9</v>
      </c>
      <c r="E9" s="12" t="s">
        <v>32</v>
      </c>
      <c r="F9" s="12" t="s">
        <v>33</v>
      </c>
      <c r="G9" s="12" t="s">
        <v>14</v>
      </c>
      <c r="H9" s="12" t="s">
        <v>34</v>
      </c>
      <c r="I9" s="12" t="s">
        <v>36</v>
      </c>
      <c r="J9" s="12" t="s">
        <v>37</v>
      </c>
    </row>
    <row r="10" ht="42.0" customHeight="1">
      <c r="A10" s="20" t="s">
        <v>38</v>
      </c>
      <c r="B10" s="21"/>
      <c r="C10" s="22" t="s">
        <v>40</v>
      </c>
      <c r="D10" s="23" t="s">
        <v>42</v>
      </c>
      <c r="E10" s="24"/>
      <c r="F10" s="24"/>
      <c r="G10" s="24"/>
      <c r="H10" s="24"/>
      <c r="I10" s="24"/>
      <c r="J10" s="21"/>
    </row>
    <row r="11" ht="131.25" customHeight="1">
      <c r="A11" s="25">
        <v>1.0</v>
      </c>
      <c r="B11" s="25" t="s">
        <v>51</v>
      </c>
      <c r="C11" s="16" t="s">
        <v>55</v>
      </c>
      <c r="D11" s="26" t="s">
        <v>56</v>
      </c>
      <c r="E11" s="26" t="s">
        <v>58</v>
      </c>
      <c r="F11" s="27">
        <f>EDATE('Executive Summary'!$C$4,0)</f>
        <v>46296</v>
      </c>
      <c r="G11" s="28" t="s">
        <v>23</v>
      </c>
      <c r="H11" s="29"/>
      <c r="I11" s="30"/>
      <c r="J11" s="30" t="s">
        <v>72</v>
      </c>
    </row>
    <row r="12" ht="182.25" customHeight="1">
      <c r="A12" s="25">
        <v>2.0</v>
      </c>
      <c r="B12" s="25" t="s">
        <v>51</v>
      </c>
      <c r="C12" s="16" t="s">
        <v>74</v>
      </c>
      <c r="D12" s="26" t="s">
        <v>56</v>
      </c>
      <c r="E12" s="26" t="s">
        <v>58</v>
      </c>
      <c r="F12" s="27">
        <f>EDATE('Executive Summary'!$C$4,1)</f>
        <v>46327</v>
      </c>
      <c r="G12" s="28" t="s">
        <v>79</v>
      </c>
      <c r="H12" s="29"/>
      <c r="I12" s="30" t="s">
        <v>81</v>
      </c>
      <c r="J12" s="30" t="s">
        <v>83</v>
      </c>
    </row>
    <row r="13" ht="93.0" customHeight="1">
      <c r="A13" s="25">
        <v>3.0</v>
      </c>
      <c r="B13" s="25" t="s">
        <v>51</v>
      </c>
      <c r="C13" s="16" t="s">
        <v>85</v>
      </c>
      <c r="D13" s="26" t="s">
        <v>56</v>
      </c>
      <c r="E13" s="26" t="s">
        <v>58</v>
      </c>
      <c r="F13" s="27">
        <f>EDATE('Executive Summary'!$C$4,1)</f>
        <v>46327</v>
      </c>
      <c r="G13" s="28" t="s">
        <v>23</v>
      </c>
      <c r="H13" s="29"/>
      <c r="I13" s="30"/>
      <c r="J13" s="30" t="s">
        <v>90</v>
      </c>
    </row>
    <row r="14" ht="42.0" customHeight="1">
      <c r="A14" s="20" t="s">
        <v>91</v>
      </c>
      <c r="B14" s="21"/>
      <c r="C14" s="22" t="s">
        <v>93</v>
      </c>
      <c r="D14" s="23" t="s">
        <v>94</v>
      </c>
      <c r="E14" s="24"/>
      <c r="F14" s="24"/>
      <c r="G14" s="24"/>
      <c r="H14" s="24"/>
      <c r="I14" s="24"/>
      <c r="J14" s="21"/>
    </row>
    <row r="15" ht="29.25" customHeight="1">
      <c r="A15" s="25">
        <v>4.0</v>
      </c>
      <c r="B15" s="25" t="s">
        <v>51</v>
      </c>
      <c r="C15" s="16" t="s">
        <v>99</v>
      </c>
      <c r="D15" s="26" t="s">
        <v>56</v>
      </c>
      <c r="E15" s="26" t="s">
        <v>100</v>
      </c>
      <c r="F15" s="27">
        <f>EDATE('Executive Summary'!$C$4,1)</f>
        <v>46327</v>
      </c>
      <c r="G15" s="28" t="s">
        <v>23</v>
      </c>
      <c r="H15" s="29"/>
      <c r="I15" s="30"/>
      <c r="J15" s="30"/>
    </row>
    <row r="16" ht="18.0" customHeight="1">
      <c r="A16" s="25">
        <v>5.0</v>
      </c>
      <c r="B16" s="25" t="s">
        <v>51</v>
      </c>
      <c r="C16" s="16" t="s">
        <v>104</v>
      </c>
      <c r="D16" s="26" t="s">
        <v>106</v>
      </c>
      <c r="E16" s="26" t="s">
        <v>100</v>
      </c>
      <c r="F16" s="27">
        <f>EDATE('Executive Summary'!$C$4,2)</f>
        <v>46357</v>
      </c>
      <c r="G16" s="28" t="s">
        <v>23</v>
      </c>
      <c r="H16" s="29"/>
      <c r="I16" s="30"/>
      <c r="J16" s="30"/>
    </row>
    <row r="17" ht="80.25" customHeight="1">
      <c r="A17" s="25">
        <v>6.0</v>
      </c>
      <c r="B17" s="25" t="s">
        <v>108</v>
      </c>
      <c r="C17" s="16" t="s">
        <v>109</v>
      </c>
      <c r="D17" s="26" t="s">
        <v>56</v>
      </c>
      <c r="E17" s="26" t="s">
        <v>100</v>
      </c>
      <c r="F17" s="25" t="s">
        <v>110</v>
      </c>
      <c r="G17" s="28" t="s">
        <v>23</v>
      </c>
      <c r="H17" s="29"/>
      <c r="I17" s="30"/>
      <c r="J17" s="30" t="s">
        <v>113</v>
      </c>
    </row>
    <row r="18" ht="29.25" customHeight="1">
      <c r="A18" s="25">
        <v>7.0</v>
      </c>
      <c r="B18" s="25" t="s">
        <v>108</v>
      </c>
      <c r="C18" s="16" t="s">
        <v>115</v>
      </c>
      <c r="D18" s="26" t="s">
        <v>56</v>
      </c>
      <c r="E18" s="26" t="s">
        <v>100</v>
      </c>
      <c r="F18" s="25" t="s">
        <v>119</v>
      </c>
      <c r="G18" s="28" t="s">
        <v>23</v>
      </c>
      <c r="H18" s="29"/>
      <c r="I18" s="30"/>
      <c r="J18" s="30"/>
    </row>
    <row r="19">
      <c r="A19" s="34"/>
      <c r="B19" s="34"/>
      <c r="C19" s="34"/>
      <c r="D19" s="34"/>
      <c r="E19" s="34"/>
      <c r="F19" s="34"/>
      <c r="G19" s="35"/>
      <c r="H19" s="36"/>
      <c r="I19" s="35"/>
      <c r="J19" s="35"/>
    </row>
    <row r="20">
      <c r="A20" s="34"/>
      <c r="B20" s="34"/>
      <c r="C20" s="34"/>
      <c r="D20" s="34"/>
      <c r="E20" s="34"/>
      <c r="F20" s="34"/>
      <c r="G20" s="35"/>
      <c r="H20" s="36"/>
      <c r="I20" s="35"/>
      <c r="J20" s="35"/>
    </row>
    <row r="21" ht="15.75" customHeight="1">
      <c r="A21" s="38" t="s">
        <v>127</v>
      </c>
      <c r="B21" s="24"/>
      <c r="C21" s="21"/>
      <c r="D21" s="40">
        <f>COUNTIF($G$11:$G$20,"Done")</f>
        <v>0</v>
      </c>
      <c r="E21" s="41" t="str">
        <f>"of "&amp;(COUNTA($B$11:$B$20))&amp;" actions"</f>
        <v>of 7 actions</v>
      </c>
      <c r="F21" s="43"/>
      <c r="G21" s="44" t="s">
        <v>18</v>
      </c>
      <c r="H21" s="45">
        <f>IFERROR(SUM($H$11:$H$20)/(COUNTA($B$11:$B$20)),0)</f>
        <v>0</v>
      </c>
      <c r="I21" s="43"/>
      <c r="J21" s="43"/>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B2"/>
    <mergeCell ref="A6:J6"/>
    <mergeCell ref="A10:B10"/>
    <mergeCell ref="D10:J10"/>
    <mergeCell ref="A14:B14"/>
    <mergeCell ref="D14:J14"/>
    <mergeCell ref="A21:C21"/>
  </mergeCells>
  <dataValidations>
    <dataValidation type="decimal" allowBlank="1" showInputMessage="1" showErrorMessage="1" prompt="% - Enter a value from 0% to 100%" sqref="H11:H13 H15:H20">
      <formula1>0.0</formula1>
      <formula2>1.0</formula2>
    </dataValidation>
    <dataValidation type="list" allowBlank="1" sqref="G2">
      <formula1>"Not started,On track,At risk,Behind,Done"</formula1>
    </dataValidation>
    <dataValidation type="list" allowBlank="1" sqref="G11:G13 G15:G20">
      <formula1>"Not started,In progress,Done,Blocked"</formula1>
    </dataValidation>
  </dataValidation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4.38"/>
    <col customWidth="1" min="2" max="2" width="7.88"/>
    <col customWidth="1" min="3" max="3" width="50.75"/>
    <col customWidth="1" min="4" max="4" width="13.13"/>
    <col customWidth="1" min="5" max="5" width="21.0"/>
    <col customWidth="1" min="6" max="6" width="9.63"/>
    <col customWidth="1" min="7" max="7" width="11.38"/>
    <col customWidth="1" min="8" max="8" width="7.0"/>
    <col customWidth="1" min="9" max="9" width="26.25"/>
    <col customWidth="1" min="10" max="10" width="42.0"/>
    <col customWidth="1" min="11" max="26" width="7.63"/>
  </cols>
  <sheetData>
    <row r="1">
      <c r="A1" s="6" t="s">
        <v>22</v>
      </c>
    </row>
    <row r="2">
      <c r="A2" s="10" t="s">
        <v>9</v>
      </c>
      <c r="B2" s="11"/>
      <c r="C2" s="7" t="s">
        <v>26</v>
      </c>
      <c r="F2" s="13" t="s">
        <v>14</v>
      </c>
      <c r="G2" s="17" t="s">
        <v>23</v>
      </c>
    </row>
    <row r="3">
      <c r="A3" s="2" t="s">
        <v>39</v>
      </c>
    </row>
    <row r="5">
      <c r="A5" s="5" t="s">
        <v>25</v>
      </c>
    </row>
    <row r="6" ht="30.0" customHeight="1">
      <c r="A6" s="9" t="s">
        <v>41</v>
      </c>
    </row>
    <row r="8">
      <c r="A8" s="5" t="s">
        <v>27</v>
      </c>
    </row>
    <row r="9">
      <c r="A9" s="12" t="s">
        <v>29</v>
      </c>
      <c r="B9" s="12" t="s">
        <v>30</v>
      </c>
      <c r="C9" s="12" t="s">
        <v>31</v>
      </c>
      <c r="D9" s="12" t="s">
        <v>9</v>
      </c>
      <c r="E9" s="12" t="s">
        <v>32</v>
      </c>
      <c r="F9" s="12" t="s">
        <v>33</v>
      </c>
      <c r="G9" s="12" t="s">
        <v>14</v>
      </c>
      <c r="H9" s="12" t="s">
        <v>34</v>
      </c>
      <c r="I9" s="12" t="s">
        <v>36</v>
      </c>
      <c r="J9" s="12" t="s">
        <v>37</v>
      </c>
    </row>
    <row r="10" ht="54.75" customHeight="1">
      <c r="A10" s="20" t="s">
        <v>47</v>
      </c>
      <c r="B10" s="21"/>
      <c r="C10" s="22" t="s">
        <v>49</v>
      </c>
      <c r="D10" s="23" t="s">
        <v>54</v>
      </c>
      <c r="E10" s="24"/>
      <c r="F10" s="24"/>
      <c r="G10" s="24"/>
      <c r="H10" s="24"/>
      <c r="I10" s="24"/>
      <c r="J10" s="21"/>
    </row>
    <row r="11" ht="105.75" customHeight="1">
      <c r="A11" s="25">
        <v>1.0</v>
      </c>
      <c r="B11" s="25" t="s">
        <v>51</v>
      </c>
      <c r="C11" s="16" t="s">
        <v>59</v>
      </c>
      <c r="D11" s="26" t="s">
        <v>56</v>
      </c>
      <c r="E11" s="26" t="s">
        <v>65</v>
      </c>
      <c r="F11" s="27">
        <f>EDATE('Executive Summary'!$C$4,2)</f>
        <v>46357</v>
      </c>
      <c r="G11" s="28" t="s">
        <v>23</v>
      </c>
      <c r="H11" s="29"/>
      <c r="I11" s="30"/>
      <c r="J11" s="30" t="s">
        <v>84</v>
      </c>
    </row>
    <row r="12" ht="105.75" customHeight="1">
      <c r="A12" s="25">
        <v>2.0</v>
      </c>
      <c r="B12" s="25" t="s">
        <v>51</v>
      </c>
      <c r="C12" s="16" t="s">
        <v>86</v>
      </c>
      <c r="D12" s="26" t="s">
        <v>61</v>
      </c>
      <c r="E12" s="26" t="s">
        <v>65</v>
      </c>
      <c r="F12" s="27">
        <f>EDATE('Executive Summary'!$C$4,2)</f>
        <v>46357</v>
      </c>
      <c r="G12" s="28" t="s">
        <v>23</v>
      </c>
      <c r="H12" s="29"/>
      <c r="I12" s="30"/>
      <c r="J12" s="30" t="s">
        <v>96</v>
      </c>
    </row>
    <row r="13" ht="156.75" customHeight="1">
      <c r="A13" s="25">
        <v>3.0</v>
      </c>
      <c r="B13" s="25" t="s">
        <v>51</v>
      </c>
      <c r="C13" s="16" t="s">
        <v>98</v>
      </c>
      <c r="D13" s="26" t="s">
        <v>61</v>
      </c>
      <c r="E13" s="26" t="s">
        <v>65</v>
      </c>
      <c r="F13" s="27">
        <f>EDATE('Executive Summary'!$C$4,2)</f>
        <v>46357</v>
      </c>
      <c r="G13" s="28" t="s">
        <v>23</v>
      </c>
      <c r="H13" s="29"/>
      <c r="I13" s="30"/>
      <c r="J13" s="30" t="s">
        <v>101</v>
      </c>
    </row>
    <row r="14" ht="144.0" customHeight="1">
      <c r="A14" s="25">
        <v>4.0</v>
      </c>
      <c r="B14" s="25" t="s">
        <v>88</v>
      </c>
      <c r="C14" s="16" t="s">
        <v>105</v>
      </c>
      <c r="D14" s="26" t="s">
        <v>61</v>
      </c>
      <c r="E14" s="26" t="s">
        <v>65</v>
      </c>
      <c r="F14" s="27">
        <f>EDATE('Executive Summary'!$C$4,3)</f>
        <v>46388</v>
      </c>
      <c r="G14" s="28" t="s">
        <v>23</v>
      </c>
      <c r="H14" s="29"/>
      <c r="I14" s="30"/>
      <c r="J14" s="30" t="s">
        <v>114</v>
      </c>
    </row>
    <row r="15" ht="93.0" customHeight="1">
      <c r="A15" s="25">
        <v>5.0</v>
      </c>
      <c r="B15" s="25" t="s">
        <v>88</v>
      </c>
      <c r="C15" s="16" t="s">
        <v>117</v>
      </c>
      <c r="D15" s="26" t="s">
        <v>61</v>
      </c>
      <c r="E15" s="26" t="s">
        <v>65</v>
      </c>
      <c r="F15" s="27">
        <f>EDATE('Executive Summary'!$C$4,5)</f>
        <v>46447</v>
      </c>
      <c r="G15" s="28" t="s">
        <v>23</v>
      </c>
      <c r="H15" s="29"/>
      <c r="I15" s="30"/>
      <c r="J15" s="30" t="s">
        <v>122</v>
      </c>
    </row>
    <row r="16" ht="18.0" customHeight="1">
      <c r="A16" s="25">
        <v>6.0</v>
      </c>
      <c r="B16" s="25" t="s">
        <v>88</v>
      </c>
      <c r="C16" s="16" t="s">
        <v>123</v>
      </c>
      <c r="D16" s="26" t="s">
        <v>61</v>
      </c>
      <c r="E16" s="26" t="s">
        <v>65</v>
      </c>
      <c r="F16" s="27">
        <f>EDATE('Executive Summary'!$C$4,5)</f>
        <v>46447</v>
      </c>
      <c r="G16" s="28" t="s">
        <v>23</v>
      </c>
      <c r="H16" s="29"/>
      <c r="I16" s="30"/>
      <c r="J16" s="30"/>
    </row>
    <row r="17" ht="54.75" customHeight="1">
      <c r="A17" s="20" t="s">
        <v>126</v>
      </c>
      <c r="B17" s="21"/>
      <c r="C17" s="22" t="s">
        <v>128</v>
      </c>
      <c r="D17" s="23" t="s">
        <v>129</v>
      </c>
      <c r="E17" s="24"/>
      <c r="F17" s="24"/>
      <c r="G17" s="24"/>
      <c r="H17" s="24"/>
      <c r="I17" s="24"/>
      <c r="J17" s="21"/>
    </row>
    <row r="18" ht="93.0" customHeight="1">
      <c r="A18" s="25">
        <v>7.0</v>
      </c>
      <c r="B18" s="25" t="s">
        <v>88</v>
      </c>
      <c r="C18" s="16" t="s">
        <v>59</v>
      </c>
      <c r="D18" s="26" t="s">
        <v>56</v>
      </c>
      <c r="E18" s="26" t="s">
        <v>136</v>
      </c>
      <c r="F18" s="27">
        <f>EDATE('Executive Summary'!$C$4,4)</f>
        <v>46419</v>
      </c>
      <c r="G18" s="28" t="s">
        <v>23</v>
      </c>
      <c r="H18" s="29"/>
      <c r="I18" s="30"/>
      <c r="J18" s="30" t="s">
        <v>151</v>
      </c>
    </row>
    <row r="19" ht="131.25" customHeight="1">
      <c r="A19" s="25">
        <v>8.0</v>
      </c>
      <c r="B19" s="25" t="s">
        <v>88</v>
      </c>
      <c r="C19" s="16" t="s">
        <v>154</v>
      </c>
      <c r="D19" s="26" t="s">
        <v>61</v>
      </c>
      <c r="E19" s="26" t="s">
        <v>136</v>
      </c>
      <c r="F19" s="27">
        <f>EDATE('Executive Summary'!$C$4,4)</f>
        <v>46419</v>
      </c>
      <c r="G19" s="28" t="s">
        <v>79</v>
      </c>
      <c r="H19" s="29"/>
      <c r="I19" s="30"/>
      <c r="J19" s="30" t="s">
        <v>174</v>
      </c>
    </row>
    <row r="20" ht="105.75" customHeight="1">
      <c r="A20" s="25">
        <v>9.0</v>
      </c>
      <c r="B20" s="25" t="s">
        <v>88</v>
      </c>
      <c r="C20" s="16" t="s">
        <v>175</v>
      </c>
      <c r="D20" s="26" t="s">
        <v>61</v>
      </c>
      <c r="E20" s="26" t="s">
        <v>136</v>
      </c>
      <c r="F20" s="27">
        <f>EDATE('Executive Summary'!$C$4,5)</f>
        <v>46447</v>
      </c>
      <c r="G20" s="28" t="s">
        <v>23</v>
      </c>
      <c r="H20" s="29"/>
      <c r="I20" s="30"/>
      <c r="J20" s="30" t="s">
        <v>181</v>
      </c>
    </row>
    <row r="21" ht="131.25" customHeight="1">
      <c r="A21" s="25">
        <v>10.0</v>
      </c>
      <c r="B21" s="25" t="s">
        <v>103</v>
      </c>
      <c r="C21" s="16" t="s">
        <v>183</v>
      </c>
      <c r="D21" s="26" t="s">
        <v>61</v>
      </c>
      <c r="E21" s="26" t="s">
        <v>136</v>
      </c>
      <c r="F21" s="27">
        <f>EDATE('Executive Summary'!$C$4,6)</f>
        <v>46478</v>
      </c>
      <c r="G21" s="28" t="s">
        <v>79</v>
      </c>
      <c r="H21" s="29"/>
      <c r="I21" s="30"/>
      <c r="J21" s="30" t="s">
        <v>186</v>
      </c>
    </row>
    <row r="22" ht="18.0" customHeight="1">
      <c r="A22" s="25">
        <v>11.0</v>
      </c>
      <c r="B22" s="25" t="s">
        <v>103</v>
      </c>
      <c r="C22" s="16" t="s">
        <v>117</v>
      </c>
      <c r="D22" s="26" t="s">
        <v>61</v>
      </c>
      <c r="E22" s="26" t="s">
        <v>136</v>
      </c>
      <c r="F22" s="27">
        <f>EDATE('Executive Summary'!$C$4,8)</f>
        <v>46539</v>
      </c>
      <c r="G22" s="28" t="s">
        <v>23</v>
      </c>
      <c r="H22" s="29"/>
      <c r="I22" s="30"/>
      <c r="J22" s="30"/>
    </row>
    <row r="23" ht="18.0" customHeight="1">
      <c r="A23" s="25">
        <v>12.0</v>
      </c>
      <c r="B23" s="25" t="s">
        <v>187</v>
      </c>
      <c r="C23" s="16" t="s">
        <v>123</v>
      </c>
      <c r="D23" s="26" t="s">
        <v>61</v>
      </c>
      <c r="E23" s="26" t="s">
        <v>136</v>
      </c>
      <c r="F23" s="27">
        <f>EDATE('Executive Summary'!$C$4,11)</f>
        <v>46631</v>
      </c>
      <c r="G23" s="28" t="s">
        <v>23</v>
      </c>
      <c r="H23" s="29"/>
      <c r="I23" s="30"/>
      <c r="J23" s="30"/>
    </row>
    <row r="24" ht="54.75" customHeight="1">
      <c r="A24" s="20" t="s">
        <v>188</v>
      </c>
      <c r="B24" s="21"/>
      <c r="C24" s="22" t="s">
        <v>189</v>
      </c>
      <c r="D24" s="23" t="s">
        <v>190</v>
      </c>
      <c r="E24" s="24"/>
      <c r="F24" s="24"/>
      <c r="G24" s="24"/>
      <c r="H24" s="24"/>
      <c r="I24" s="24"/>
      <c r="J24" s="21"/>
    </row>
    <row r="25" ht="105.75" customHeight="1">
      <c r="A25" s="25">
        <v>13.0</v>
      </c>
      <c r="B25" s="25" t="s">
        <v>88</v>
      </c>
      <c r="C25" s="16" t="s">
        <v>59</v>
      </c>
      <c r="D25" s="26" t="s">
        <v>56</v>
      </c>
      <c r="E25" s="26" t="s">
        <v>191</v>
      </c>
      <c r="F25" s="27">
        <f>EDATE('Executive Summary'!$C$4,4)</f>
        <v>46419</v>
      </c>
      <c r="G25" s="28" t="s">
        <v>23</v>
      </c>
      <c r="H25" s="29"/>
      <c r="I25" s="30"/>
      <c r="J25" s="30" t="s">
        <v>192</v>
      </c>
    </row>
    <row r="26" ht="29.25" customHeight="1">
      <c r="A26" s="25">
        <v>14.0</v>
      </c>
      <c r="B26" s="25" t="s">
        <v>88</v>
      </c>
      <c r="C26" s="16" t="s">
        <v>193</v>
      </c>
      <c r="D26" s="26" t="s">
        <v>106</v>
      </c>
      <c r="E26" s="26" t="s">
        <v>191</v>
      </c>
      <c r="F26" s="27">
        <f>EDATE('Executive Summary'!$C$4,5)</f>
        <v>46447</v>
      </c>
      <c r="G26" s="28" t="s">
        <v>23</v>
      </c>
      <c r="H26" s="29"/>
      <c r="I26" s="30"/>
      <c r="J26" s="30"/>
    </row>
    <row r="27" ht="29.25" customHeight="1">
      <c r="A27" s="25">
        <v>15.0</v>
      </c>
      <c r="B27" s="25" t="s">
        <v>88</v>
      </c>
      <c r="C27" s="16" t="s">
        <v>194</v>
      </c>
      <c r="D27" s="26" t="s">
        <v>106</v>
      </c>
      <c r="E27" s="26" t="s">
        <v>191</v>
      </c>
      <c r="F27" s="27">
        <f>EDATE('Executive Summary'!$C$4,5)</f>
        <v>46447</v>
      </c>
      <c r="G27" s="28" t="s">
        <v>23</v>
      </c>
      <c r="H27" s="29"/>
      <c r="I27" s="30"/>
      <c r="J27" s="30"/>
    </row>
    <row r="28" ht="80.25" customHeight="1">
      <c r="A28" s="25">
        <v>16.0</v>
      </c>
      <c r="B28" s="25" t="s">
        <v>103</v>
      </c>
      <c r="C28" s="16" t="s">
        <v>195</v>
      </c>
      <c r="D28" s="26" t="s">
        <v>106</v>
      </c>
      <c r="E28" s="26" t="s">
        <v>191</v>
      </c>
      <c r="F28" s="27">
        <f>EDATE('Executive Summary'!$C$4,8)</f>
        <v>46539</v>
      </c>
      <c r="G28" s="28" t="s">
        <v>23</v>
      </c>
      <c r="H28" s="29"/>
      <c r="I28" s="30"/>
      <c r="J28" s="30" t="s">
        <v>196</v>
      </c>
    </row>
    <row r="29" ht="29.25" customHeight="1">
      <c r="A29" s="25">
        <v>17.0</v>
      </c>
      <c r="B29" s="25" t="s">
        <v>187</v>
      </c>
      <c r="C29" s="16" t="s">
        <v>197</v>
      </c>
      <c r="D29" s="26" t="s">
        <v>106</v>
      </c>
      <c r="E29" s="26" t="s">
        <v>191</v>
      </c>
      <c r="F29" s="27">
        <f>EDATE('Executive Summary'!$C$4,11)</f>
        <v>46631</v>
      </c>
      <c r="G29" s="28" t="s">
        <v>23</v>
      </c>
      <c r="H29" s="29"/>
      <c r="I29" s="30"/>
      <c r="J29" s="30"/>
    </row>
    <row r="30" ht="29.25" customHeight="1">
      <c r="A30" s="25">
        <v>18.0</v>
      </c>
      <c r="B30" s="25" t="s">
        <v>187</v>
      </c>
      <c r="C30" s="16" t="s">
        <v>123</v>
      </c>
      <c r="D30" s="26" t="s">
        <v>106</v>
      </c>
      <c r="E30" s="26" t="s">
        <v>191</v>
      </c>
      <c r="F30" s="27">
        <f>EDATE('Executive Summary'!$C$4,11)</f>
        <v>46631</v>
      </c>
      <c r="G30" s="28" t="s">
        <v>23</v>
      </c>
      <c r="H30" s="29"/>
      <c r="I30" s="30"/>
      <c r="J30" s="30"/>
    </row>
    <row r="31" ht="42.0" customHeight="1">
      <c r="A31" s="20" t="s">
        <v>198</v>
      </c>
      <c r="B31" s="21"/>
      <c r="C31" s="22" t="s">
        <v>199</v>
      </c>
      <c r="D31" s="23" t="s">
        <v>200</v>
      </c>
      <c r="E31" s="24"/>
      <c r="F31" s="24"/>
      <c r="G31" s="24"/>
      <c r="H31" s="24"/>
      <c r="I31" s="24"/>
      <c r="J31" s="21"/>
    </row>
    <row r="32" ht="105.75" customHeight="1">
      <c r="A32" s="25">
        <v>19.0</v>
      </c>
      <c r="B32" s="25" t="s">
        <v>51</v>
      </c>
      <c r="C32" s="16" t="s">
        <v>201</v>
      </c>
      <c r="D32" s="26" t="s">
        <v>61</v>
      </c>
      <c r="E32" s="26" t="s">
        <v>202</v>
      </c>
      <c r="F32" s="27">
        <f>EDATE('Executive Summary'!$C$4,1)</f>
        <v>46327</v>
      </c>
      <c r="G32" s="28" t="s">
        <v>23</v>
      </c>
      <c r="H32" s="29"/>
      <c r="I32" s="30"/>
      <c r="J32" s="30" t="s">
        <v>203</v>
      </c>
    </row>
    <row r="33" ht="18.0" customHeight="1">
      <c r="A33" s="25">
        <v>20.0</v>
      </c>
      <c r="B33" s="25" t="s">
        <v>108</v>
      </c>
      <c r="C33" s="16" t="s">
        <v>204</v>
      </c>
      <c r="D33" s="26" t="s">
        <v>61</v>
      </c>
      <c r="E33" s="26" t="s">
        <v>202</v>
      </c>
      <c r="F33" s="25" t="s">
        <v>205</v>
      </c>
      <c r="G33" s="28" t="s">
        <v>23</v>
      </c>
      <c r="H33" s="29"/>
      <c r="I33" s="30"/>
      <c r="J33" s="30"/>
    </row>
    <row r="34" ht="29.25" customHeight="1">
      <c r="A34" s="25">
        <v>21.0</v>
      </c>
      <c r="B34" s="25" t="s">
        <v>108</v>
      </c>
      <c r="C34" s="16" t="s">
        <v>206</v>
      </c>
      <c r="D34" s="26" t="s">
        <v>61</v>
      </c>
      <c r="E34" s="26" t="s">
        <v>202</v>
      </c>
      <c r="F34" s="25" t="s">
        <v>141</v>
      </c>
      <c r="G34" s="28" t="s">
        <v>23</v>
      </c>
      <c r="H34" s="29"/>
      <c r="I34" s="30"/>
      <c r="J34" s="30"/>
    </row>
    <row r="35" ht="15.75" customHeight="1">
      <c r="A35" s="34"/>
      <c r="B35" s="34"/>
      <c r="C35" s="34"/>
      <c r="D35" s="34"/>
      <c r="E35" s="34"/>
      <c r="F35" s="34"/>
      <c r="G35" s="35"/>
      <c r="H35" s="36"/>
      <c r="I35" s="35"/>
      <c r="J35" s="35"/>
    </row>
    <row r="36" ht="15.75" customHeight="1">
      <c r="A36" s="34"/>
      <c r="B36" s="34"/>
      <c r="C36" s="34"/>
      <c r="D36" s="34"/>
      <c r="E36" s="34"/>
      <c r="F36" s="34"/>
      <c r="G36" s="35"/>
      <c r="H36" s="36"/>
      <c r="I36" s="35"/>
      <c r="J36" s="35"/>
    </row>
    <row r="37" ht="15.75" customHeight="1">
      <c r="A37" s="38" t="s">
        <v>127</v>
      </c>
      <c r="B37" s="24"/>
      <c r="C37" s="21"/>
      <c r="D37" s="40">
        <f>COUNTIF($G$11:$G$36,"Done")</f>
        <v>0</v>
      </c>
      <c r="E37" s="41" t="str">
        <f>"of "&amp;(COUNTA($B$11:$B$36))&amp;" actions"</f>
        <v>of 21 actions</v>
      </c>
      <c r="F37" s="43"/>
      <c r="G37" s="44" t="s">
        <v>18</v>
      </c>
      <c r="H37" s="45">
        <f>IFERROR(SUM($H$11:$H$36)/(COUNTA($B$11:$B$36)),0)</f>
        <v>0</v>
      </c>
      <c r="I37" s="43"/>
      <c r="J37" s="43"/>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24:B24"/>
    <mergeCell ref="A31:B31"/>
    <mergeCell ref="D31:J31"/>
    <mergeCell ref="A37:C37"/>
    <mergeCell ref="A2:B2"/>
    <mergeCell ref="A6:J6"/>
    <mergeCell ref="A10:B10"/>
    <mergeCell ref="D10:J10"/>
    <mergeCell ref="A17:B17"/>
    <mergeCell ref="D17:J17"/>
    <mergeCell ref="D24:J24"/>
  </mergeCells>
  <dataValidations>
    <dataValidation type="decimal" allowBlank="1" showInputMessage="1" showErrorMessage="1" prompt="% - Enter a value from 0% to 100%" sqref="H11:H16 H18:H23 H25:H30 H32:H36">
      <formula1>0.0</formula1>
      <formula2>1.0</formula2>
    </dataValidation>
    <dataValidation type="list" allowBlank="1" sqref="G2">
      <formula1>"Not started,On track,At risk,Behind,Done"</formula1>
    </dataValidation>
    <dataValidation type="list" allowBlank="1" sqref="G11:G16 G18:G23 G25:G30 G32:G36">
      <formula1>"Not started,In progress,Done,Blocked"</formula1>
    </dataValidation>
  </dataValidation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4.38"/>
    <col customWidth="1" min="2" max="2" width="7.88"/>
    <col customWidth="1" min="3" max="3" width="50.75"/>
    <col customWidth="1" min="4" max="4" width="13.13"/>
    <col customWidth="1" min="5" max="5" width="21.0"/>
    <col customWidth="1" min="6" max="6" width="9.63"/>
    <col customWidth="1" min="7" max="7" width="11.38"/>
    <col customWidth="1" min="8" max="8" width="7.0"/>
    <col customWidth="1" min="9" max="9" width="26.25"/>
    <col customWidth="1" min="10" max="10" width="42.0"/>
    <col customWidth="1" min="11" max="26" width="7.63"/>
  </cols>
  <sheetData>
    <row r="1">
      <c r="A1" s="6" t="s">
        <v>28</v>
      </c>
    </row>
    <row r="2">
      <c r="A2" s="10" t="s">
        <v>9</v>
      </c>
      <c r="B2" s="11"/>
      <c r="C2" s="7" t="s">
        <v>35</v>
      </c>
      <c r="F2" s="13" t="s">
        <v>14</v>
      </c>
      <c r="G2" s="17" t="s">
        <v>23</v>
      </c>
    </row>
    <row r="3">
      <c r="A3" s="2" t="s">
        <v>43</v>
      </c>
    </row>
    <row r="5">
      <c r="A5" s="5" t="s">
        <v>25</v>
      </c>
    </row>
    <row r="6" ht="30.0" customHeight="1">
      <c r="A6" s="9" t="s">
        <v>46</v>
      </c>
    </row>
    <row r="8">
      <c r="A8" s="5" t="s">
        <v>27</v>
      </c>
    </row>
    <row r="9">
      <c r="A9" s="12" t="s">
        <v>29</v>
      </c>
      <c r="B9" s="12" t="s">
        <v>30</v>
      </c>
      <c r="C9" s="12" t="s">
        <v>31</v>
      </c>
      <c r="D9" s="12" t="s">
        <v>9</v>
      </c>
      <c r="E9" s="12" t="s">
        <v>32</v>
      </c>
      <c r="F9" s="12" t="s">
        <v>33</v>
      </c>
      <c r="G9" s="12" t="s">
        <v>14</v>
      </c>
      <c r="H9" s="12" t="s">
        <v>34</v>
      </c>
      <c r="I9" s="12" t="s">
        <v>36</v>
      </c>
      <c r="J9" s="12" t="s">
        <v>37</v>
      </c>
    </row>
    <row r="10" ht="42.0" customHeight="1">
      <c r="A10" s="20" t="s">
        <v>48</v>
      </c>
      <c r="B10" s="21"/>
      <c r="C10" s="22" t="s">
        <v>52</v>
      </c>
      <c r="D10" s="23" t="s">
        <v>57</v>
      </c>
      <c r="E10" s="24"/>
      <c r="F10" s="24"/>
      <c r="G10" s="24"/>
      <c r="H10" s="24"/>
      <c r="I10" s="24"/>
      <c r="J10" s="21"/>
    </row>
    <row r="11" ht="105.75" customHeight="1">
      <c r="A11" s="25">
        <v>1.0</v>
      </c>
      <c r="B11" s="25" t="s">
        <v>51</v>
      </c>
      <c r="C11" s="16" t="s">
        <v>60</v>
      </c>
      <c r="D11" s="26" t="s">
        <v>61</v>
      </c>
      <c r="E11" s="26" t="s">
        <v>62</v>
      </c>
      <c r="F11" s="27">
        <f>EDATE('Executive Summary'!$C$4,0)</f>
        <v>46296</v>
      </c>
      <c r="G11" s="28" t="s">
        <v>23</v>
      </c>
      <c r="H11" s="29"/>
      <c r="I11" s="30"/>
      <c r="J11" s="30" t="s">
        <v>71</v>
      </c>
    </row>
    <row r="12" ht="131.25" customHeight="1">
      <c r="A12" s="25">
        <v>2.0</v>
      </c>
      <c r="B12" s="25" t="s">
        <v>51</v>
      </c>
      <c r="C12" s="16" t="s">
        <v>73</v>
      </c>
      <c r="D12" s="26" t="s">
        <v>61</v>
      </c>
      <c r="E12" s="26" t="s">
        <v>62</v>
      </c>
      <c r="F12" s="27">
        <f>EDATE('Executive Summary'!$C$4,1)</f>
        <v>46327</v>
      </c>
      <c r="G12" s="28" t="s">
        <v>23</v>
      </c>
      <c r="H12" s="29"/>
      <c r="I12" s="30"/>
      <c r="J12" s="30" t="s">
        <v>80</v>
      </c>
    </row>
    <row r="13" ht="118.5" customHeight="1">
      <c r="A13" s="25">
        <v>3.0</v>
      </c>
      <c r="B13" s="25" t="s">
        <v>51</v>
      </c>
      <c r="C13" s="16" t="s">
        <v>82</v>
      </c>
      <c r="D13" s="26" t="s">
        <v>61</v>
      </c>
      <c r="E13" s="26" t="s">
        <v>62</v>
      </c>
      <c r="F13" s="27">
        <f>EDATE('Executive Summary'!$C$4,2)</f>
        <v>46357</v>
      </c>
      <c r="G13" s="28" t="s">
        <v>23</v>
      </c>
      <c r="H13" s="29"/>
      <c r="I13" s="30"/>
      <c r="J13" s="30" t="s">
        <v>87</v>
      </c>
    </row>
    <row r="14" ht="105.75" customHeight="1">
      <c r="A14" s="25">
        <v>4.0</v>
      </c>
      <c r="B14" s="25" t="s">
        <v>88</v>
      </c>
      <c r="C14" s="16" t="s">
        <v>89</v>
      </c>
      <c r="D14" s="26" t="s">
        <v>61</v>
      </c>
      <c r="E14" s="26" t="s">
        <v>62</v>
      </c>
      <c r="F14" s="27">
        <f>EDATE('Executive Summary'!$C$4,3)</f>
        <v>46388</v>
      </c>
      <c r="G14" s="28" t="s">
        <v>23</v>
      </c>
      <c r="H14" s="29"/>
      <c r="I14" s="30"/>
      <c r="J14" s="30" t="s">
        <v>95</v>
      </c>
    </row>
    <row r="15" ht="105.75" customHeight="1">
      <c r="A15" s="25">
        <v>5.0</v>
      </c>
      <c r="B15" s="25" t="s">
        <v>88</v>
      </c>
      <c r="C15" s="16" t="s">
        <v>97</v>
      </c>
      <c r="D15" s="26" t="s">
        <v>61</v>
      </c>
      <c r="E15" s="26" t="s">
        <v>62</v>
      </c>
      <c r="F15" s="27">
        <f>EDATE('Executive Summary'!$C$4,5)</f>
        <v>46447</v>
      </c>
      <c r="G15" s="28" t="s">
        <v>23</v>
      </c>
      <c r="H15" s="29"/>
      <c r="I15" s="30"/>
      <c r="J15" s="30" t="s">
        <v>102</v>
      </c>
    </row>
    <row r="16" ht="105.75" customHeight="1">
      <c r="A16" s="25">
        <v>6.0</v>
      </c>
      <c r="B16" s="25" t="s">
        <v>103</v>
      </c>
      <c r="C16" s="16" t="s">
        <v>107</v>
      </c>
      <c r="D16" s="26" t="s">
        <v>61</v>
      </c>
      <c r="E16" s="26" t="s">
        <v>62</v>
      </c>
      <c r="F16" s="27">
        <f>EDATE('Executive Summary'!$C$4,8)</f>
        <v>46539</v>
      </c>
      <c r="G16" s="28" t="s">
        <v>23</v>
      </c>
      <c r="H16" s="29"/>
      <c r="I16" s="30"/>
      <c r="J16" s="30" t="s">
        <v>111</v>
      </c>
    </row>
    <row r="17" ht="42.0" customHeight="1">
      <c r="A17" s="20" t="s">
        <v>112</v>
      </c>
      <c r="B17" s="21"/>
      <c r="C17" s="22" t="s">
        <v>116</v>
      </c>
      <c r="D17" s="23" t="s">
        <v>118</v>
      </c>
      <c r="E17" s="24"/>
      <c r="F17" s="24"/>
      <c r="G17" s="24"/>
      <c r="H17" s="24"/>
      <c r="I17" s="24"/>
      <c r="J17" s="21"/>
    </row>
    <row r="18" ht="118.5" customHeight="1">
      <c r="A18" s="25">
        <v>7.0</v>
      </c>
      <c r="B18" s="25" t="s">
        <v>88</v>
      </c>
      <c r="C18" s="16" t="s">
        <v>120</v>
      </c>
      <c r="D18" s="26" t="s">
        <v>106</v>
      </c>
      <c r="E18" s="26" t="s">
        <v>121</v>
      </c>
      <c r="F18" s="27">
        <f>EDATE('Executive Summary'!$C$4,3)</f>
        <v>46388</v>
      </c>
      <c r="G18" s="28" t="s">
        <v>79</v>
      </c>
      <c r="H18" s="29"/>
      <c r="I18" s="30"/>
      <c r="J18" s="30" t="s">
        <v>124</v>
      </c>
    </row>
    <row r="19" ht="118.5" customHeight="1">
      <c r="A19" s="25">
        <v>8.0</v>
      </c>
      <c r="B19" s="25" t="s">
        <v>103</v>
      </c>
      <c r="C19" s="16" t="s">
        <v>125</v>
      </c>
      <c r="D19" s="26" t="s">
        <v>106</v>
      </c>
      <c r="E19" s="26" t="s">
        <v>121</v>
      </c>
      <c r="F19" s="27">
        <f>EDATE('Executive Summary'!$C$4,6)</f>
        <v>46478</v>
      </c>
      <c r="G19" s="28" t="s">
        <v>79</v>
      </c>
      <c r="H19" s="29"/>
      <c r="I19" s="30"/>
      <c r="J19" s="30" t="s">
        <v>130</v>
      </c>
    </row>
    <row r="20" ht="18.0" customHeight="1">
      <c r="A20" s="25">
        <v>9.0</v>
      </c>
      <c r="B20" s="25" t="s">
        <v>103</v>
      </c>
      <c r="C20" s="16" t="s">
        <v>132</v>
      </c>
      <c r="D20" s="26" t="s">
        <v>106</v>
      </c>
      <c r="E20" s="26" t="s">
        <v>121</v>
      </c>
      <c r="F20" s="27">
        <f>EDATE('Executive Summary'!$C$4,8)</f>
        <v>46539</v>
      </c>
      <c r="G20" s="28" t="s">
        <v>23</v>
      </c>
      <c r="H20" s="29"/>
      <c r="I20" s="30"/>
      <c r="J20" s="30"/>
    </row>
    <row r="21" ht="80.25" customHeight="1">
      <c r="A21" s="25">
        <v>10.0</v>
      </c>
      <c r="B21" s="25" t="s">
        <v>108</v>
      </c>
      <c r="C21" s="16" t="s">
        <v>140</v>
      </c>
      <c r="D21" s="26" t="s">
        <v>106</v>
      </c>
      <c r="E21" s="26" t="s">
        <v>121</v>
      </c>
      <c r="F21" s="25" t="s">
        <v>141</v>
      </c>
      <c r="G21" s="28" t="s">
        <v>23</v>
      </c>
      <c r="H21" s="29"/>
      <c r="I21" s="30"/>
      <c r="J21" s="30" t="s">
        <v>144</v>
      </c>
    </row>
    <row r="22" ht="42.0" customHeight="1">
      <c r="A22" s="20" t="s">
        <v>146</v>
      </c>
      <c r="B22" s="21"/>
      <c r="C22" s="22" t="s">
        <v>148</v>
      </c>
      <c r="D22" s="23" t="s">
        <v>149</v>
      </c>
      <c r="E22" s="24"/>
      <c r="F22" s="24"/>
      <c r="G22" s="24"/>
      <c r="H22" s="24"/>
      <c r="I22" s="24"/>
      <c r="J22" s="21"/>
    </row>
    <row r="23" ht="144.0" customHeight="1">
      <c r="A23" s="25">
        <v>11.0</v>
      </c>
      <c r="B23" s="25" t="s">
        <v>51</v>
      </c>
      <c r="C23" s="16" t="s">
        <v>155</v>
      </c>
      <c r="D23" s="26" t="s">
        <v>106</v>
      </c>
      <c r="E23" s="26" t="s">
        <v>121</v>
      </c>
      <c r="F23" s="27">
        <f>EDATE('Executive Summary'!$C$4,0)</f>
        <v>46296</v>
      </c>
      <c r="G23" s="28" t="s">
        <v>79</v>
      </c>
      <c r="H23" s="29"/>
      <c r="I23" s="30"/>
      <c r="J23" s="30" t="s">
        <v>170</v>
      </c>
    </row>
    <row r="24" ht="118.5" customHeight="1">
      <c r="A24" s="25">
        <v>12.0</v>
      </c>
      <c r="B24" s="25" t="s">
        <v>51</v>
      </c>
      <c r="C24" s="16" t="s">
        <v>172</v>
      </c>
      <c r="D24" s="26" t="s">
        <v>106</v>
      </c>
      <c r="E24" s="26" t="s">
        <v>121</v>
      </c>
      <c r="F24" s="27">
        <f>EDATE('Executive Summary'!$C$4,1)</f>
        <v>46327</v>
      </c>
      <c r="G24" s="28" t="s">
        <v>79</v>
      </c>
      <c r="H24" s="29"/>
      <c r="I24" s="30"/>
      <c r="J24" s="30" t="s">
        <v>176</v>
      </c>
    </row>
    <row r="25" ht="131.25" customHeight="1">
      <c r="A25" s="25">
        <v>13.0</v>
      </c>
      <c r="B25" s="25" t="s">
        <v>51</v>
      </c>
      <c r="C25" s="16" t="s">
        <v>177</v>
      </c>
      <c r="D25" s="26" t="s">
        <v>106</v>
      </c>
      <c r="E25" s="26" t="s">
        <v>121</v>
      </c>
      <c r="F25" s="27">
        <f>EDATE('Executive Summary'!$C$4,1)</f>
        <v>46327</v>
      </c>
      <c r="G25" s="28" t="s">
        <v>79</v>
      </c>
      <c r="H25" s="29"/>
      <c r="I25" s="30"/>
      <c r="J25" s="30" t="s">
        <v>178</v>
      </c>
    </row>
    <row r="26" ht="93.0" customHeight="1">
      <c r="A26" s="25">
        <v>14.0</v>
      </c>
      <c r="B26" s="25" t="s">
        <v>108</v>
      </c>
      <c r="C26" s="16" t="s">
        <v>179</v>
      </c>
      <c r="D26" s="26" t="s">
        <v>106</v>
      </c>
      <c r="E26" s="26" t="s">
        <v>121</v>
      </c>
      <c r="F26" s="25" t="s">
        <v>180</v>
      </c>
      <c r="G26" s="28" t="s">
        <v>23</v>
      </c>
      <c r="H26" s="29"/>
      <c r="I26" s="30"/>
      <c r="J26" s="30" t="s">
        <v>182</v>
      </c>
    </row>
    <row r="27" ht="93.0" customHeight="1">
      <c r="A27" s="25">
        <v>15.0</v>
      </c>
      <c r="B27" s="25" t="s">
        <v>103</v>
      </c>
      <c r="C27" s="16" t="s">
        <v>184</v>
      </c>
      <c r="D27" s="26" t="s">
        <v>106</v>
      </c>
      <c r="E27" s="26" t="s">
        <v>121</v>
      </c>
      <c r="F27" s="27">
        <f>EDATE('Executive Summary'!$C$4,6)</f>
        <v>46478</v>
      </c>
      <c r="G27" s="28" t="s">
        <v>23</v>
      </c>
      <c r="H27" s="29"/>
      <c r="I27" s="30"/>
      <c r="J27" s="30" t="s">
        <v>185</v>
      </c>
    </row>
    <row r="28" ht="15.75" customHeight="1">
      <c r="A28" s="34"/>
      <c r="B28" s="34"/>
      <c r="C28" s="34"/>
      <c r="D28" s="34"/>
      <c r="E28" s="34"/>
      <c r="F28" s="34"/>
      <c r="G28" s="35"/>
      <c r="H28" s="36"/>
      <c r="I28" s="35"/>
      <c r="J28" s="35"/>
    </row>
    <row r="29" ht="15.75" customHeight="1">
      <c r="A29" s="34"/>
      <c r="B29" s="34"/>
      <c r="C29" s="34"/>
      <c r="D29" s="34"/>
      <c r="E29" s="34"/>
      <c r="F29" s="34"/>
      <c r="G29" s="35"/>
      <c r="H29" s="36"/>
      <c r="I29" s="35"/>
      <c r="J29" s="35"/>
    </row>
    <row r="30" ht="15.75" customHeight="1">
      <c r="A30" s="38" t="s">
        <v>127</v>
      </c>
      <c r="B30" s="24"/>
      <c r="C30" s="21"/>
      <c r="D30" s="40">
        <f>COUNTIF($G$11:$G$29,"Done")</f>
        <v>0</v>
      </c>
      <c r="E30" s="41" t="str">
        <f>"of "&amp;(COUNTA($B$11:$B$29))&amp;" actions"</f>
        <v>of 15 actions</v>
      </c>
      <c r="F30" s="43"/>
      <c r="G30" s="44" t="s">
        <v>18</v>
      </c>
      <c r="H30" s="45">
        <f>IFERROR(SUM($H$11:$H$29)/(COUNTA($B$11:$B$29)),0)</f>
        <v>0</v>
      </c>
      <c r="I30" s="43"/>
      <c r="J30" s="43"/>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22:B22"/>
    <mergeCell ref="A30:C30"/>
    <mergeCell ref="A2:B2"/>
    <mergeCell ref="A6:J6"/>
    <mergeCell ref="A10:B10"/>
    <mergeCell ref="D10:J10"/>
    <mergeCell ref="A17:B17"/>
    <mergeCell ref="D17:J17"/>
    <mergeCell ref="D22:J22"/>
  </mergeCells>
  <dataValidations>
    <dataValidation type="decimal" allowBlank="1" showInputMessage="1" showErrorMessage="1" prompt="% - Enter a value from 0% to 100%" sqref="H11:H16 H18:H21 H23:H29">
      <formula1>0.0</formula1>
      <formula2>1.0</formula2>
    </dataValidation>
    <dataValidation type="list" allowBlank="1" sqref="G2">
      <formula1>"Not started,On track,At risk,Behind,Done"</formula1>
    </dataValidation>
    <dataValidation type="list" allowBlank="1" sqref="G11:G16 G18:G21 G23:G29">
      <formula1>"Not started,In progress,Done,Blocked"</formula1>
    </dataValidation>
  </dataValidation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4.38"/>
    <col customWidth="1" min="2" max="2" width="7.88"/>
    <col customWidth="1" min="3" max="3" width="50.75"/>
    <col customWidth="1" min="4" max="4" width="13.13"/>
    <col customWidth="1" min="5" max="5" width="21.0"/>
    <col customWidth="1" min="6" max="6" width="9.63"/>
    <col customWidth="1" min="7" max="7" width="11.38"/>
    <col customWidth="1" min="8" max="8" width="7.0"/>
    <col customWidth="1" min="9" max="9" width="26.25"/>
    <col customWidth="1" min="10" max="10" width="42.0"/>
    <col customWidth="1" min="11" max="26" width="7.63"/>
  </cols>
  <sheetData>
    <row r="1">
      <c r="A1" s="6" t="s">
        <v>208</v>
      </c>
    </row>
    <row r="2">
      <c r="A2" s="10" t="s">
        <v>9</v>
      </c>
      <c r="B2" s="11"/>
      <c r="C2" s="7" t="s">
        <v>67</v>
      </c>
      <c r="F2" s="13" t="s">
        <v>14</v>
      </c>
      <c r="G2" s="17" t="s">
        <v>23</v>
      </c>
    </row>
    <row r="3">
      <c r="A3" s="2" t="s">
        <v>210</v>
      </c>
    </row>
    <row r="5">
      <c r="A5" s="5" t="s">
        <v>25</v>
      </c>
    </row>
    <row r="6" ht="30.0" customHeight="1">
      <c r="A6" s="9" t="s">
        <v>66</v>
      </c>
    </row>
    <row r="8">
      <c r="A8" s="5" t="s">
        <v>27</v>
      </c>
    </row>
    <row r="9">
      <c r="A9" s="12" t="s">
        <v>29</v>
      </c>
      <c r="B9" s="12" t="s">
        <v>30</v>
      </c>
      <c r="C9" s="12" t="s">
        <v>31</v>
      </c>
      <c r="D9" s="12" t="s">
        <v>9</v>
      </c>
      <c r="E9" s="12" t="s">
        <v>32</v>
      </c>
      <c r="F9" s="12" t="s">
        <v>33</v>
      </c>
      <c r="G9" s="12" t="s">
        <v>14</v>
      </c>
      <c r="H9" s="12" t="s">
        <v>34</v>
      </c>
      <c r="I9" s="12" t="s">
        <v>36</v>
      </c>
      <c r="J9" s="12" t="s">
        <v>37</v>
      </c>
    </row>
    <row r="10" ht="42.0" customHeight="1">
      <c r="A10" s="20" t="s">
        <v>214</v>
      </c>
      <c r="B10" s="21"/>
      <c r="C10" s="22" t="s">
        <v>217</v>
      </c>
      <c r="D10" s="23" t="s">
        <v>218</v>
      </c>
      <c r="E10" s="24"/>
      <c r="F10" s="24"/>
      <c r="G10" s="24"/>
      <c r="H10" s="24"/>
      <c r="I10" s="24"/>
      <c r="J10" s="21"/>
    </row>
    <row r="11" ht="156.75" customHeight="1">
      <c r="A11" s="25">
        <v>1.0</v>
      </c>
      <c r="B11" s="25" t="s">
        <v>88</v>
      </c>
      <c r="C11" s="16" t="s">
        <v>219</v>
      </c>
      <c r="D11" s="26" t="s">
        <v>106</v>
      </c>
      <c r="E11" s="26" t="s">
        <v>220</v>
      </c>
      <c r="F11" s="27">
        <f>EDATE('Executive Summary'!$C$4,3)</f>
        <v>46388</v>
      </c>
      <c r="G11" s="28" t="s">
        <v>79</v>
      </c>
      <c r="H11" s="29"/>
      <c r="I11" s="30"/>
      <c r="J11" s="30" t="s">
        <v>225</v>
      </c>
    </row>
    <row r="12" ht="29.25" customHeight="1">
      <c r="A12" s="25">
        <v>2.0</v>
      </c>
      <c r="B12" s="25" t="s">
        <v>88</v>
      </c>
      <c r="C12" s="16" t="s">
        <v>228</v>
      </c>
      <c r="D12" s="26" t="s">
        <v>106</v>
      </c>
      <c r="E12" s="26" t="s">
        <v>220</v>
      </c>
      <c r="F12" s="27">
        <f>EDATE('Executive Summary'!$C$4,5)</f>
        <v>46447</v>
      </c>
      <c r="G12" s="28" t="s">
        <v>23</v>
      </c>
      <c r="H12" s="29"/>
      <c r="I12" s="30"/>
      <c r="J12" s="30"/>
    </row>
    <row r="13" ht="29.25" customHeight="1">
      <c r="A13" s="25">
        <v>3.0</v>
      </c>
      <c r="B13" s="25" t="s">
        <v>103</v>
      </c>
      <c r="C13" s="16" t="s">
        <v>231</v>
      </c>
      <c r="D13" s="26" t="s">
        <v>61</v>
      </c>
      <c r="E13" s="26" t="s">
        <v>232</v>
      </c>
      <c r="F13" s="27">
        <f>EDATE('Executive Summary'!$C$4,6)</f>
        <v>46478</v>
      </c>
      <c r="G13" s="28" t="s">
        <v>23</v>
      </c>
      <c r="H13" s="29"/>
      <c r="I13" s="30"/>
      <c r="J13" s="30" t="s">
        <v>238</v>
      </c>
    </row>
    <row r="14" ht="29.25" customHeight="1">
      <c r="A14" s="25">
        <v>4.0</v>
      </c>
      <c r="B14" s="25" t="s">
        <v>108</v>
      </c>
      <c r="C14" s="16" t="s">
        <v>239</v>
      </c>
      <c r="D14" s="26" t="s">
        <v>106</v>
      </c>
      <c r="E14" s="26" t="s">
        <v>220</v>
      </c>
      <c r="F14" s="25" t="s">
        <v>240</v>
      </c>
      <c r="G14" s="28" t="s">
        <v>23</v>
      </c>
      <c r="H14" s="29"/>
      <c r="I14" s="30"/>
      <c r="J14" s="30"/>
    </row>
    <row r="15" ht="42.0" customHeight="1">
      <c r="A15" s="20" t="s">
        <v>241</v>
      </c>
      <c r="B15" s="21"/>
      <c r="C15" s="22" t="s">
        <v>244</v>
      </c>
      <c r="D15" s="23" t="s">
        <v>245</v>
      </c>
      <c r="E15" s="24"/>
      <c r="F15" s="24"/>
      <c r="G15" s="24"/>
      <c r="H15" s="24"/>
      <c r="I15" s="24"/>
      <c r="J15" s="21"/>
    </row>
    <row r="16" ht="80.25" customHeight="1">
      <c r="A16" s="25">
        <v>5.0</v>
      </c>
      <c r="B16" s="25" t="s">
        <v>51</v>
      </c>
      <c r="C16" s="16" t="s">
        <v>247</v>
      </c>
      <c r="D16" s="26" t="s">
        <v>106</v>
      </c>
      <c r="E16" s="26" t="s">
        <v>248</v>
      </c>
      <c r="F16" s="27">
        <f>EDATE('Executive Summary'!$C$4,1)</f>
        <v>46327</v>
      </c>
      <c r="G16" s="28" t="s">
        <v>79</v>
      </c>
      <c r="H16" s="29"/>
      <c r="I16" s="30"/>
      <c r="J16" s="30" t="s">
        <v>255</v>
      </c>
    </row>
    <row r="17" ht="29.25" customHeight="1">
      <c r="A17" s="25">
        <v>6.0</v>
      </c>
      <c r="B17" s="25" t="s">
        <v>51</v>
      </c>
      <c r="C17" s="16" t="s">
        <v>256</v>
      </c>
      <c r="D17" s="26" t="s">
        <v>106</v>
      </c>
      <c r="E17" s="26" t="s">
        <v>248</v>
      </c>
      <c r="F17" s="27">
        <f>EDATE('Executive Summary'!$C$4,2)</f>
        <v>46357</v>
      </c>
      <c r="G17" s="28" t="s">
        <v>23</v>
      </c>
      <c r="H17" s="29"/>
      <c r="I17" s="30"/>
      <c r="J17" s="30"/>
    </row>
    <row r="18" ht="93.0" customHeight="1">
      <c r="A18" s="25">
        <v>7.0</v>
      </c>
      <c r="B18" s="25" t="s">
        <v>88</v>
      </c>
      <c r="C18" s="16" t="s">
        <v>260</v>
      </c>
      <c r="D18" s="26" t="s">
        <v>106</v>
      </c>
      <c r="E18" s="26" t="s">
        <v>248</v>
      </c>
      <c r="F18" s="27">
        <f>EDATE('Executive Summary'!$C$4,5)</f>
        <v>46447</v>
      </c>
      <c r="G18" s="28" t="s">
        <v>79</v>
      </c>
      <c r="H18" s="29"/>
      <c r="I18" s="30"/>
      <c r="J18" s="30" t="s">
        <v>263</v>
      </c>
    </row>
    <row r="19" ht="131.25" customHeight="1">
      <c r="A19" s="25">
        <v>8.0</v>
      </c>
      <c r="B19" s="25" t="s">
        <v>103</v>
      </c>
      <c r="C19" s="16" t="s">
        <v>264</v>
      </c>
      <c r="D19" s="26" t="s">
        <v>61</v>
      </c>
      <c r="E19" s="26" t="s">
        <v>265</v>
      </c>
      <c r="F19" s="27">
        <f>EDATE('Executive Summary'!$C$4,6)</f>
        <v>46478</v>
      </c>
      <c r="G19" s="28" t="s">
        <v>23</v>
      </c>
      <c r="H19" s="29"/>
      <c r="I19" s="30"/>
      <c r="J19" s="30" t="s">
        <v>266</v>
      </c>
    </row>
    <row r="20" ht="18.0" customHeight="1">
      <c r="A20" s="25">
        <v>9.0</v>
      </c>
      <c r="B20" s="25" t="s">
        <v>103</v>
      </c>
      <c r="C20" s="16" t="s">
        <v>267</v>
      </c>
      <c r="D20" s="26" t="s">
        <v>106</v>
      </c>
      <c r="E20" s="26" t="s">
        <v>248</v>
      </c>
      <c r="F20" s="27">
        <f>EDATE('Executive Summary'!$C$4,8)</f>
        <v>46539</v>
      </c>
      <c r="G20" s="28" t="s">
        <v>23</v>
      </c>
      <c r="H20" s="29"/>
      <c r="I20" s="30"/>
      <c r="J20" s="30"/>
    </row>
    <row r="21" ht="18.0" customHeight="1">
      <c r="A21" s="25">
        <v>10.0</v>
      </c>
      <c r="B21" s="25" t="s">
        <v>108</v>
      </c>
      <c r="C21" s="16" t="s">
        <v>269</v>
      </c>
      <c r="D21" s="26" t="s">
        <v>106</v>
      </c>
      <c r="E21" s="26" t="s">
        <v>248</v>
      </c>
      <c r="F21" s="25" t="s">
        <v>270</v>
      </c>
      <c r="G21" s="28" t="s">
        <v>23</v>
      </c>
      <c r="H21" s="29"/>
      <c r="I21" s="30"/>
      <c r="J21" s="30"/>
    </row>
    <row r="22" ht="18.0" customHeight="1">
      <c r="A22" s="25">
        <v>11.0</v>
      </c>
      <c r="B22" s="25" t="s">
        <v>187</v>
      </c>
      <c r="C22" s="16" t="s">
        <v>271</v>
      </c>
      <c r="D22" s="26" t="s">
        <v>106</v>
      </c>
      <c r="E22" s="26" t="s">
        <v>248</v>
      </c>
      <c r="F22" s="27">
        <f>EDATE('Executive Summary'!$C$4,11)</f>
        <v>46631</v>
      </c>
      <c r="G22" s="28" t="s">
        <v>23</v>
      </c>
      <c r="H22" s="29"/>
      <c r="I22" s="30"/>
      <c r="J22" s="30"/>
    </row>
    <row r="23" ht="42.0" customHeight="1">
      <c r="A23" s="20" t="s">
        <v>275</v>
      </c>
      <c r="B23" s="21"/>
      <c r="C23" s="22" t="s">
        <v>276</v>
      </c>
      <c r="D23" s="23" t="s">
        <v>278</v>
      </c>
      <c r="E23" s="24"/>
      <c r="F23" s="24"/>
      <c r="G23" s="24"/>
      <c r="H23" s="24"/>
      <c r="I23" s="24"/>
      <c r="J23" s="21"/>
    </row>
    <row r="24" ht="105.75" customHeight="1">
      <c r="A24" s="25">
        <v>12.0</v>
      </c>
      <c r="B24" s="25" t="s">
        <v>88</v>
      </c>
      <c r="C24" s="16" t="s">
        <v>280</v>
      </c>
      <c r="D24" s="26" t="s">
        <v>106</v>
      </c>
      <c r="E24" s="26" t="s">
        <v>281</v>
      </c>
      <c r="F24" s="27">
        <f>EDATE('Executive Summary'!$C$4,5)</f>
        <v>46447</v>
      </c>
      <c r="G24" s="28" t="s">
        <v>23</v>
      </c>
      <c r="H24" s="29"/>
      <c r="I24" s="30"/>
      <c r="J24" s="30" t="s">
        <v>282</v>
      </c>
    </row>
    <row r="25" ht="105.75" customHeight="1">
      <c r="A25" s="25">
        <v>13.0</v>
      </c>
      <c r="B25" s="25" t="s">
        <v>88</v>
      </c>
      <c r="C25" s="16" t="s">
        <v>284</v>
      </c>
      <c r="D25" s="26" t="s">
        <v>106</v>
      </c>
      <c r="E25" s="26" t="s">
        <v>281</v>
      </c>
      <c r="F25" s="27">
        <f>EDATE('Executive Summary'!$C$4,5)</f>
        <v>46447</v>
      </c>
      <c r="G25" s="28" t="s">
        <v>23</v>
      </c>
      <c r="H25" s="29"/>
      <c r="I25" s="30"/>
      <c r="J25" s="30" t="s">
        <v>286</v>
      </c>
    </row>
    <row r="26" ht="105.75" customHeight="1">
      <c r="A26" s="25">
        <v>14.0</v>
      </c>
      <c r="B26" s="25" t="s">
        <v>103</v>
      </c>
      <c r="C26" s="16" t="s">
        <v>287</v>
      </c>
      <c r="D26" s="26" t="s">
        <v>106</v>
      </c>
      <c r="E26" s="26" t="s">
        <v>281</v>
      </c>
      <c r="F26" s="27">
        <f>EDATE('Executive Summary'!$C$4,6)</f>
        <v>46478</v>
      </c>
      <c r="G26" s="28" t="s">
        <v>23</v>
      </c>
      <c r="H26" s="29"/>
      <c r="I26" s="30"/>
      <c r="J26" s="30" t="s">
        <v>289</v>
      </c>
    </row>
    <row r="27" ht="15.75" customHeight="1">
      <c r="A27" s="34"/>
      <c r="B27" s="34"/>
      <c r="C27" s="34"/>
      <c r="D27" s="34"/>
      <c r="E27" s="34"/>
      <c r="F27" s="34"/>
      <c r="G27" s="35"/>
      <c r="H27" s="36"/>
      <c r="I27" s="35"/>
      <c r="J27" s="35"/>
    </row>
    <row r="28" ht="15.75" customHeight="1">
      <c r="A28" s="34"/>
      <c r="B28" s="34"/>
      <c r="C28" s="34"/>
      <c r="D28" s="34"/>
      <c r="E28" s="34"/>
      <c r="F28" s="34"/>
      <c r="G28" s="35"/>
      <c r="H28" s="36"/>
      <c r="I28" s="35"/>
      <c r="J28" s="35"/>
    </row>
    <row r="29" ht="15.75" customHeight="1">
      <c r="A29" s="38" t="s">
        <v>127</v>
      </c>
      <c r="B29" s="24"/>
      <c r="C29" s="21"/>
      <c r="D29" s="40">
        <f>COUNTIF($G$11:$G$28,"Done")</f>
        <v>0</v>
      </c>
      <c r="E29" s="41" t="str">
        <f>"of "&amp;(COUNTA($B$11:$B$28))&amp;" actions"</f>
        <v>of 14 actions</v>
      </c>
      <c r="F29" s="43"/>
      <c r="G29" s="44" t="s">
        <v>18</v>
      </c>
      <c r="H29" s="45">
        <f>IFERROR(SUM($H$11:$H$28)/(COUNTA($B$11:$B$28)),0)</f>
        <v>0</v>
      </c>
      <c r="I29" s="43"/>
      <c r="J29" s="43"/>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23:B23"/>
    <mergeCell ref="A29:C29"/>
    <mergeCell ref="A2:B2"/>
    <mergeCell ref="A6:J6"/>
    <mergeCell ref="A10:B10"/>
    <mergeCell ref="D10:J10"/>
    <mergeCell ref="A15:B15"/>
    <mergeCell ref="D15:J15"/>
    <mergeCell ref="D23:J23"/>
  </mergeCells>
  <dataValidations>
    <dataValidation type="decimal" allowBlank="1" showInputMessage="1" showErrorMessage="1" prompt="% - Enter a value from 0% to 100%" sqref="H11:H14 H16:H22 H24:H28">
      <formula1>0.0</formula1>
      <formula2>1.0</formula2>
    </dataValidation>
    <dataValidation type="list" allowBlank="1" sqref="G2">
      <formula1>"Not started,On track,At risk,Behind,Done"</formula1>
    </dataValidation>
    <dataValidation type="list" allowBlank="1" sqref="G11:G14 G16:G22 G24:G28">
      <formula1>"Not started,In progress,Done,Blocked"</formula1>
    </dataValidation>
  </dataValidation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4.38"/>
    <col customWidth="1" min="2" max="2" width="7.88"/>
    <col customWidth="1" min="3" max="3" width="50.75"/>
    <col customWidth="1" min="4" max="4" width="13.13"/>
    <col customWidth="1" min="5" max="5" width="21.0"/>
    <col customWidth="1" min="6" max="6" width="9.63"/>
    <col customWidth="1" min="7" max="7" width="11.38"/>
    <col customWidth="1" min="8" max="8" width="7.0"/>
    <col customWidth="1" min="9" max="9" width="26.25"/>
    <col customWidth="1" min="10" max="10" width="42.0"/>
    <col customWidth="1" min="11" max="26" width="7.63"/>
  </cols>
  <sheetData>
    <row r="1">
      <c r="A1" s="6" t="s">
        <v>207</v>
      </c>
    </row>
    <row r="2">
      <c r="A2" s="10" t="s">
        <v>9</v>
      </c>
      <c r="B2" s="11"/>
      <c r="C2" s="7" t="s">
        <v>13</v>
      </c>
      <c r="F2" s="13" t="s">
        <v>14</v>
      </c>
      <c r="G2" s="17" t="s">
        <v>23</v>
      </c>
    </row>
    <row r="3">
      <c r="A3" s="2" t="s">
        <v>209</v>
      </c>
    </row>
    <row r="5">
      <c r="A5" s="5" t="s">
        <v>25</v>
      </c>
    </row>
    <row r="6" ht="30.0" customHeight="1">
      <c r="A6" s="9" t="s">
        <v>70</v>
      </c>
    </row>
    <row r="8">
      <c r="A8" s="5" t="s">
        <v>27</v>
      </c>
    </row>
    <row r="9">
      <c r="A9" s="12" t="s">
        <v>29</v>
      </c>
      <c r="B9" s="12" t="s">
        <v>30</v>
      </c>
      <c r="C9" s="12" t="s">
        <v>31</v>
      </c>
      <c r="D9" s="12" t="s">
        <v>9</v>
      </c>
      <c r="E9" s="12" t="s">
        <v>32</v>
      </c>
      <c r="F9" s="12" t="s">
        <v>33</v>
      </c>
      <c r="G9" s="12" t="s">
        <v>14</v>
      </c>
      <c r="H9" s="12" t="s">
        <v>34</v>
      </c>
      <c r="I9" s="12" t="s">
        <v>36</v>
      </c>
      <c r="J9" s="12" t="s">
        <v>37</v>
      </c>
    </row>
    <row r="10" ht="42.0" customHeight="1">
      <c r="A10" s="20" t="s">
        <v>211</v>
      </c>
      <c r="B10" s="21"/>
      <c r="C10" s="22" t="s">
        <v>212</v>
      </c>
      <c r="D10" s="23" t="s">
        <v>213</v>
      </c>
      <c r="E10" s="24"/>
      <c r="F10" s="24"/>
      <c r="G10" s="24"/>
      <c r="H10" s="24"/>
      <c r="I10" s="24"/>
      <c r="J10" s="21"/>
    </row>
    <row r="11" ht="131.25" customHeight="1">
      <c r="A11" s="25">
        <v>1.0</v>
      </c>
      <c r="B11" s="25" t="s">
        <v>88</v>
      </c>
      <c r="C11" s="16" t="s">
        <v>215</v>
      </c>
      <c r="D11" s="26" t="s">
        <v>56</v>
      </c>
      <c r="E11" s="26" t="s">
        <v>216</v>
      </c>
      <c r="F11" s="27">
        <f>EDATE('Executive Summary'!$C$4,3)</f>
        <v>46388</v>
      </c>
      <c r="G11" s="28" t="s">
        <v>79</v>
      </c>
      <c r="H11" s="29"/>
      <c r="I11" s="30"/>
      <c r="J11" s="30" t="s">
        <v>221</v>
      </c>
    </row>
    <row r="12" ht="105.75" customHeight="1">
      <c r="A12" s="25">
        <v>2.0</v>
      </c>
      <c r="B12" s="25" t="s">
        <v>88</v>
      </c>
      <c r="C12" s="16" t="s">
        <v>222</v>
      </c>
      <c r="D12" s="26" t="s">
        <v>56</v>
      </c>
      <c r="E12" s="26" t="s">
        <v>216</v>
      </c>
      <c r="F12" s="27">
        <f>EDATE('Executive Summary'!$C$4,3)</f>
        <v>46388</v>
      </c>
      <c r="G12" s="28" t="s">
        <v>23</v>
      </c>
      <c r="H12" s="29"/>
      <c r="I12" s="30"/>
      <c r="J12" s="30" t="s">
        <v>223</v>
      </c>
    </row>
    <row r="13" ht="67.5" customHeight="1">
      <c r="A13" s="25">
        <v>3.0</v>
      </c>
      <c r="B13" s="25" t="s">
        <v>88</v>
      </c>
      <c r="C13" s="16" t="s">
        <v>224</v>
      </c>
      <c r="D13" s="26" t="s">
        <v>56</v>
      </c>
      <c r="E13" s="26" t="s">
        <v>216</v>
      </c>
      <c r="F13" s="27">
        <f>EDATE('Executive Summary'!$C$4,4)</f>
        <v>46419</v>
      </c>
      <c r="G13" s="28" t="s">
        <v>23</v>
      </c>
      <c r="H13" s="29"/>
      <c r="I13" s="30"/>
      <c r="J13" s="30" t="s">
        <v>226</v>
      </c>
    </row>
    <row r="14" ht="67.5" customHeight="1">
      <c r="A14" s="25">
        <v>4.0</v>
      </c>
      <c r="B14" s="25" t="s">
        <v>88</v>
      </c>
      <c r="C14" s="16" t="s">
        <v>227</v>
      </c>
      <c r="D14" s="26" t="s">
        <v>56</v>
      </c>
      <c r="E14" s="26" t="s">
        <v>216</v>
      </c>
      <c r="F14" s="27">
        <f>EDATE('Executive Summary'!$C$4,4)</f>
        <v>46419</v>
      </c>
      <c r="G14" s="28" t="s">
        <v>23</v>
      </c>
      <c r="H14" s="29"/>
      <c r="I14" s="30"/>
      <c r="J14" s="30" t="s">
        <v>229</v>
      </c>
    </row>
    <row r="15" ht="29.25" customHeight="1">
      <c r="A15" s="25">
        <v>5.0</v>
      </c>
      <c r="B15" s="25" t="s">
        <v>108</v>
      </c>
      <c r="C15" s="16" t="s">
        <v>230</v>
      </c>
      <c r="D15" s="26" t="s">
        <v>56</v>
      </c>
      <c r="E15" s="26" t="s">
        <v>216</v>
      </c>
      <c r="F15" s="25" t="s">
        <v>141</v>
      </c>
      <c r="G15" s="28" t="s">
        <v>23</v>
      </c>
      <c r="H15" s="29"/>
      <c r="I15" s="30"/>
      <c r="J15" s="30"/>
    </row>
    <row r="16" ht="42.0" customHeight="1">
      <c r="A16" s="20" t="s">
        <v>233</v>
      </c>
      <c r="B16" s="21"/>
      <c r="C16" s="22" t="s">
        <v>234</v>
      </c>
      <c r="D16" s="23" t="s">
        <v>235</v>
      </c>
      <c r="E16" s="24"/>
      <c r="F16" s="24"/>
      <c r="G16" s="24"/>
      <c r="H16" s="24"/>
      <c r="I16" s="24"/>
      <c r="J16" s="21"/>
    </row>
    <row r="17" ht="144.0" customHeight="1">
      <c r="A17" s="25">
        <v>6.0</v>
      </c>
      <c r="B17" s="25" t="s">
        <v>88</v>
      </c>
      <c r="C17" s="16" t="s">
        <v>236</v>
      </c>
      <c r="D17" s="26" t="s">
        <v>106</v>
      </c>
      <c r="E17" s="26" t="s">
        <v>237</v>
      </c>
      <c r="F17" s="27">
        <f>EDATE('Executive Summary'!$C$4,5)</f>
        <v>46447</v>
      </c>
      <c r="G17" s="28" t="s">
        <v>23</v>
      </c>
      <c r="H17" s="29"/>
      <c r="I17" s="30"/>
      <c r="J17" s="30" t="s">
        <v>242</v>
      </c>
    </row>
    <row r="18" ht="18.0" customHeight="1">
      <c r="A18" s="25">
        <v>7.0</v>
      </c>
      <c r="B18" s="25" t="s">
        <v>108</v>
      </c>
      <c r="C18" s="16" t="s">
        <v>243</v>
      </c>
      <c r="D18" s="26" t="s">
        <v>106</v>
      </c>
      <c r="E18" s="26" t="s">
        <v>237</v>
      </c>
      <c r="F18" s="25" t="s">
        <v>180</v>
      </c>
      <c r="G18" s="28" t="s">
        <v>23</v>
      </c>
      <c r="H18" s="29"/>
      <c r="I18" s="30"/>
      <c r="J18" s="30"/>
    </row>
    <row r="19" ht="42.0" customHeight="1">
      <c r="A19" s="25">
        <v>8.0</v>
      </c>
      <c r="B19" s="25" t="s">
        <v>187</v>
      </c>
      <c r="C19" s="16" t="s">
        <v>246</v>
      </c>
      <c r="D19" s="26" t="s">
        <v>106</v>
      </c>
      <c r="E19" s="26" t="s">
        <v>237</v>
      </c>
      <c r="F19" s="27">
        <f>EDATE('Executive Summary'!$C$4,11)</f>
        <v>46631</v>
      </c>
      <c r="G19" s="28" t="s">
        <v>23</v>
      </c>
      <c r="H19" s="29"/>
      <c r="I19" s="30"/>
      <c r="J19" s="30" t="s">
        <v>249</v>
      </c>
    </row>
    <row r="20" ht="42.0" customHeight="1">
      <c r="A20" s="20" t="s">
        <v>250</v>
      </c>
      <c r="B20" s="21"/>
      <c r="C20" s="22" t="s">
        <v>251</v>
      </c>
      <c r="D20" s="23" t="s">
        <v>252</v>
      </c>
      <c r="E20" s="24"/>
      <c r="F20" s="24"/>
      <c r="G20" s="24"/>
      <c r="H20" s="24"/>
      <c r="I20" s="24"/>
      <c r="J20" s="21"/>
    </row>
    <row r="21" ht="220.5" customHeight="1">
      <c r="A21" s="25">
        <v>9.0</v>
      </c>
      <c r="B21" s="25" t="s">
        <v>51</v>
      </c>
      <c r="C21" s="16" t="s">
        <v>253</v>
      </c>
      <c r="D21" s="26" t="s">
        <v>56</v>
      </c>
      <c r="E21" s="26" t="s">
        <v>254</v>
      </c>
      <c r="F21" s="27">
        <f>EDATE('Executive Summary'!$C$4,1)</f>
        <v>46327</v>
      </c>
      <c r="G21" s="28" t="s">
        <v>23</v>
      </c>
      <c r="H21" s="29"/>
      <c r="I21" s="30"/>
      <c r="J21" s="30" t="s">
        <v>257</v>
      </c>
    </row>
    <row r="22" ht="18.0" customHeight="1">
      <c r="A22" s="25">
        <v>10.0</v>
      </c>
      <c r="B22" s="25" t="s">
        <v>108</v>
      </c>
      <c r="C22" s="16" t="s">
        <v>258</v>
      </c>
      <c r="D22" s="26" t="s">
        <v>56</v>
      </c>
      <c r="E22" s="26" t="s">
        <v>254</v>
      </c>
      <c r="F22" s="25" t="s">
        <v>205</v>
      </c>
      <c r="G22" s="28" t="s">
        <v>23</v>
      </c>
      <c r="H22" s="29"/>
      <c r="I22" s="30"/>
      <c r="J22" s="30"/>
    </row>
    <row r="23" ht="18.0" customHeight="1">
      <c r="A23" s="25">
        <v>11.0</v>
      </c>
      <c r="B23" s="25" t="s">
        <v>103</v>
      </c>
      <c r="C23" s="16" t="s">
        <v>259</v>
      </c>
      <c r="D23" s="26" t="s">
        <v>56</v>
      </c>
      <c r="E23" s="26" t="s">
        <v>254</v>
      </c>
      <c r="F23" s="27">
        <f>EDATE('Executive Summary'!$C$4,8)</f>
        <v>46539</v>
      </c>
      <c r="G23" s="28" t="s">
        <v>23</v>
      </c>
      <c r="H23" s="29"/>
      <c r="I23" s="30"/>
      <c r="J23" s="30"/>
    </row>
    <row r="24" ht="18.0" customHeight="1">
      <c r="A24" s="25">
        <v>12.0</v>
      </c>
      <c r="B24" s="25" t="s">
        <v>187</v>
      </c>
      <c r="C24" s="16" t="s">
        <v>261</v>
      </c>
      <c r="D24" s="26" t="s">
        <v>56</v>
      </c>
      <c r="E24" s="26" t="s">
        <v>254</v>
      </c>
      <c r="F24" s="27">
        <f>EDATE('Executive Summary'!$C$4,11)</f>
        <v>46631</v>
      </c>
      <c r="G24" s="28" t="s">
        <v>23</v>
      </c>
      <c r="H24" s="29"/>
      <c r="I24" s="30"/>
      <c r="J24" s="30"/>
    </row>
    <row r="25" ht="15.75" customHeight="1">
      <c r="A25" s="34"/>
      <c r="B25" s="34"/>
      <c r="C25" s="34"/>
      <c r="D25" s="34"/>
      <c r="E25" s="34"/>
      <c r="F25" s="34"/>
      <c r="G25" s="35"/>
      <c r="H25" s="36"/>
      <c r="I25" s="35"/>
      <c r="J25" s="35"/>
    </row>
    <row r="26" ht="15.75" customHeight="1">
      <c r="A26" s="34"/>
      <c r="B26" s="34"/>
      <c r="C26" s="34"/>
      <c r="D26" s="34"/>
      <c r="E26" s="34"/>
      <c r="F26" s="34"/>
      <c r="G26" s="35"/>
      <c r="H26" s="36"/>
      <c r="I26" s="35"/>
      <c r="J26" s="35"/>
    </row>
    <row r="27" ht="15.75" customHeight="1">
      <c r="A27" s="38" t="s">
        <v>127</v>
      </c>
      <c r="B27" s="24"/>
      <c r="C27" s="21"/>
      <c r="D27" s="40">
        <f>COUNTIF($G$11:$G$26,"Done")</f>
        <v>0</v>
      </c>
      <c r="E27" s="41" t="str">
        <f>"of "&amp;(COUNTA($B$11:$B$26))&amp;" actions"</f>
        <v>of 12 actions</v>
      </c>
      <c r="F27" s="43"/>
      <c r="G27" s="44" t="s">
        <v>18</v>
      </c>
      <c r="H27" s="45">
        <f>IFERROR(SUM($H$11:$H$26)/(COUNTA($B$11:$B$26)),0)</f>
        <v>0</v>
      </c>
      <c r="I27" s="43"/>
      <c r="J27" s="43"/>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20:B20"/>
    <mergeCell ref="A27:C27"/>
    <mergeCell ref="A2:B2"/>
    <mergeCell ref="A6:J6"/>
    <mergeCell ref="A10:B10"/>
    <mergeCell ref="D10:J10"/>
    <mergeCell ref="A16:B16"/>
    <mergeCell ref="D16:J16"/>
    <mergeCell ref="D20:J20"/>
  </mergeCells>
  <dataValidations>
    <dataValidation type="decimal" allowBlank="1" showInputMessage="1" showErrorMessage="1" prompt="% - Enter a value from 0% to 100%" sqref="H11:H15 H17:H19 H21:H26">
      <formula1>0.0</formula1>
      <formula2>1.0</formula2>
    </dataValidation>
    <dataValidation type="list" allowBlank="1" sqref="G2">
      <formula1>"Not started,On track,At risk,Behind,Done"</formula1>
    </dataValidation>
    <dataValidation type="list" allowBlank="1" sqref="G11:G15 G17:G19 G21:G26">
      <formula1>"Not started,In progress,Done,Blocked"</formula1>
    </dataValidation>
  </dataValidation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4.38"/>
    <col customWidth="1" min="2" max="2" width="7.88"/>
    <col customWidth="1" min="3" max="3" width="50.75"/>
    <col customWidth="1" min="4" max="4" width="13.13"/>
    <col customWidth="1" min="5" max="5" width="21.0"/>
    <col customWidth="1" min="6" max="6" width="9.63"/>
    <col customWidth="1" min="7" max="7" width="11.38"/>
    <col customWidth="1" min="8" max="8" width="7.0"/>
    <col customWidth="1" min="9" max="9" width="26.25"/>
    <col customWidth="1" min="10" max="10" width="42.0"/>
    <col customWidth="1" min="11" max="26" width="7.63"/>
  </cols>
  <sheetData>
    <row r="1">
      <c r="A1" s="6" t="s">
        <v>262</v>
      </c>
    </row>
    <row r="2">
      <c r="A2" s="10" t="s">
        <v>9</v>
      </c>
      <c r="B2" s="11"/>
      <c r="C2" s="7" t="s">
        <v>78</v>
      </c>
      <c r="F2" s="13" t="s">
        <v>14</v>
      </c>
      <c r="G2" s="17" t="s">
        <v>23</v>
      </c>
    </row>
    <row r="3">
      <c r="A3" s="2" t="s">
        <v>268</v>
      </c>
    </row>
    <row r="5">
      <c r="A5" s="5" t="s">
        <v>25</v>
      </c>
    </row>
    <row r="6" ht="30.0" customHeight="1">
      <c r="A6" s="9" t="s">
        <v>77</v>
      </c>
    </row>
    <row r="8">
      <c r="A8" s="5" t="s">
        <v>27</v>
      </c>
    </row>
    <row r="9">
      <c r="A9" s="12" t="s">
        <v>29</v>
      </c>
      <c r="B9" s="12" t="s">
        <v>30</v>
      </c>
      <c r="C9" s="12" t="s">
        <v>31</v>
      </c>
      <c r="D9" s="12" t="s">
        <v>9</v>
      </c>
      <c r="E9" s="12" t="s">
        <v>32</v>
      </c>
      <c r="F9" s="12" t="s">
        <v>33</v>
      </c>
      <c r="G9" s="12" t="s">
        <v>14</v>
      </c>
      <c r="H9" s="12" t="s">
        <v>34</v>
      </c>
      <c r="I9" s="12" t="s">
        <v>36</v>
      </c>
      <c r="J9" s="12" t="s">
        <v>37</v>
      </c>
    </row>
    <row r="10" ht="42.0" customHeight="1">
      <c r="A10" s="20" t="s">
        <v>272</v>
      </c>
      <c r="B10" s="21"/>
      <c r="C10" s="22" t="s">
        <v>273</v>
      </c>
      <c r="D10" s="23" t="s">
        <v>274</v>
      </c>
      <c r="E10" s="24"/>
      <c r="F10" s="24"/>
      <c r="G10" s="24"/>
      <c r="H10" s="24"/>
      <c r="I10" s="24"/>
      <c r="J10" s="21"/>
    </row>
    <row r="11" ht="144.0" customHeight="1">
      <c r="A11" s="25">
        <v>1.0</v>
      </c>
      <c r="B11" s="25" t="s">
        <v>51</v>
      </c>
      <c r="C11" s="16" t="s">
        <v>277</v>
      </c>
      <c r="D11" s="26" t="s">
        <v>56</v>
      </c>
      <c r="E11" s="26" t="s">
        <v>279</v>
      </c>
      <c r="F11" s="27">
        <f>EDATE('Executive Summary'!$C$4,0)</f>
        <v>46296</v>
      </c>
      <c r="G11" s="28" t="s">
        <v>23</v>
      </c>
      <c r="H11" s="29"/>
      <c r="I11" s="30"/>
      <c r="J11" s="30" t="s">
        <v>283</v>
      </c>
    </row>
    <row r="12" ht="29.25" customHeight="1">
      <c r="A12" s="25">
        <v>2.0</v>
      </c>
      <c r="B12" s="25" t="s">
        <v>51</v>
      </c>
      <c r="C12" s="16" t="s">
        <v>285</v>
      </c>
      <c r="D12" s="26" t="s">
        <v>56</v>
      </c>
      <c r="E12" s="26" t="s">
        <v>279</v>
      </c>
      <c r="F12" s="27">
        <f>EDATE('Executive Summary'!$C$4,1)</f>
        <v>46327</v>
      </c>
      <c r="G12" s="28" t="s">
        <v>23</v>
      </c>
      <c r="H12" s="29"/>
      <c r="I12" s="30"/>
      <c r="J12" s="30"/>
    </row>
    <row r="13" ht="29.25" customHeight="1">
      <c r="A13" s="25">
        <v>3.0</v>
      </c>
      <c r="B13" s="25" t="s">
        <v>51</v>
      </c>
      <c r="C13" s="16" t="s">
        <v>288</v>
      </c>
      <c r="D13" s="26" t="s">
        <v>56</v>
      </c>
      <c r="E13" s="26" t="s">
        <v>279</v>
      </c>
      <c r="F13" s="27">
        <f>EDATE('Executive Summary'!$C$4,1)</f>
        <v>46327</v>
      </c>
      <c r="G13" s="28" t="s">
        <v>23</v>
      </c>
      <c r="H13" s="29"/>
      <c r="I13" s="30"/>
      <c r="J13" s="30"/>
    </row>
    <row r="14" ht="29.25" customHeight="1">
      <c r="A14" s="25">
        <v>4.0</v>
      </c>
      <c r="B14" s="25" t="s">
        <v>108</v>
      </c>
      <c r="C14" s="16" t="s">
        <v>290</v>
      </c>
      <c r="D14" s="26" t="s">
        <v>56</v>
      </c>
      <c r="E14" s="26" t="s">
        <v>279</v>
      </c>
      <c r="F14" s="25" t="s">
        <v>141</v>
      </c>
      <c r="G14" s="28" t="s">
        <v>23</v>
      </c>
      <c r="H14" s="29"/>
      <c r="I14" s="30"/>
      <c r="J14" s="30"/>
    </row>
    <row r="15" ht="42.0" customHeight="1">
      <c r="A15" s="20" t="s">
        <v>291</v>
      </c>
      <c r="B15" s="21"/>
      <c r="C15" s="22" t="s">
        <v>292</v>
      </c>
      <c r="D15" s="23" t="s">
        <v>293</v>
      </c>
      <c r="E15" s="24"/>
      <c r="F15" s="24"/>
      <c r="G15" s="24"/>
      <c r="H15" s="24"/>
      <c r="I15" s="24"/>
      <c r="J15" s="21"/>
    </row>
    <row r="16" ht="80.25" customHeight="1">
      <c r="A16" s="25">
        <v>5.0</v>
      </c>
      <c r="B16" s="25" t="s">
        <v>51</v>
      </c>
      <c r="C16" s="16" t="s">
        <v>294</v>
      </c>
      <c r="D16" s="26" t="s">
        <v>61</v>
      </c>
      <c r="E16" s="26" t="s">
        <v>295</v>
      </c>
      <c r="F16" s="27">
        <f>EDATE('Executive Summary'!$C$4,0)</f>
        <v>46296</v>
      </c>
      <c r="G16" s="28" t="s">
        <v>23</v>
      </c>
      <c r="H16" s="29"/>
      <c r="I16" s="30"/>
      <c r="J16" s="30" t="s">
        <v>296</v>
      </c>
    </row>
    <row r="17" ht="118.5" customHeight="1">
      <c r="A17" s="25">
        <v>6.0</v>
      </c>
      <c r="B17" s="25" t="s">
        <v>51</v>
      </c>
      <c r="C17" s="16" t="s">
        <v>297</v>
      </c>
      <c r="D17" s="26" t="s">
        <v>61</v>
      </c>
      <c r="E17" s="26" t="s">
        <v>295</v>
      </c>
      <c r="F17" s="27">
        <f>EDATE('Executive Summary'!$C$4,1)</f>
        <v>46327</v>
      </c>
      <c r="G17" s="28" t="s">
        <v>79</v>
      </c>
      <c r="H17" s="29"/>
      <c r="I17" s="30"/>
      <c r="J17" s="30" t="s">
        <v>298</v>
      </c>
    </row>
    <row r="18" ht="18.0" customHeight="1">
      <c r="A18" s="25">
        <v>7.0</v>
      </c>
      <c r="B18" s="25" t="s">
        <v>51</v>
      </c>
      <c r="C18" s="16" t="s">
        <v>299</v>
      </c>
      <c r="D18" s="26" t="s">
        <v>61</v>
      </c>
      <c r="E18" s="26" t="s">
        <v>295</v>
      </c>
      <c r="F18" s="27">
        <f>EDATE('Executive Summary'!$C$4,2)</f>
        <v>46357</v>
      </c>
      <c r="G18" s="28" t="s">
        <v>23</v>
      </c>
      <c r="H18" s="29"/>
      <c r="I18" s="30"/>
      <c r="J18" s="30"/>
    </row>
    <row r="19" ht="18.0" customHeight="1">
      <c r="A19" s="25">
        <v>8.0</v>
      </c>
      <c r="B19" s="25" t="s">
        <v>51</v>
      </c>
      <c r="C19" s="16" t="s">
        <v>300</v>
      </c>
      <c r="D19" s="26" t="s">
        <v>106</v>
      </c>
      <c r="E19" s="26" t="s">
        <v>295</v>
      </c>
      <c r="F19" s="27">
        <f>EDATE('Executive Summary'!$C$4,2)</f>
        <v>46357</v>
      </c>
      <c r="G19" s="28" t="s">
        <v>23</v>
      </c>
      <c r="H19" s="29"/>
      <c r="I19" s="30"/>
      <c r="J19" s="30"/>
    </row>
    <row r="20" ht="18.0" customHeight="1">
      <c r="A20" s="25">
        <v>9.0</v>
      </c>
      <c r="B20" s="25" t="s">
        <v>88</v>
      </c>
      <c r="C20" s="16" t="s">
        <v>301</v>
      </c>
      <c r="D20" s="26" t="s">
        <v>106</v>
      </c>
      <c r="E20" s="26" t="s">
        <v>295</v>
      </c>
      <c r="F20" s="27">
        <f>EDATE('Executive Summary'!$C$4,5)</f>
        <v>46447</v>
      </c>
      <c r="G20" s="28" t="s">
        <v>23</v>
      </c>
      <c r="H20" s="29"/>
      <c r="I20" s="30"/>
      <c r="J20" s="30"/>
    </row>
    <row r="21" ht="29.25" customHeight="1">
      <c r="A21" s="25">
        <v>10.0</v>
      </c>
      <c r="B21" s="25" t="s">
        <v>51</v>
      </c>
      <c r="C21" s="16" t="s">
        <v>302</v>
      </c>
      <c r="D21" s="26" t="s">
        <v>106</v>
      </c>
      <c r="E21" s="26" t="s">
        <v>295</v>
      </c>
      <c r="F21" s="27">
        <f>EDATE('Executive Summary'!$C$4,2)</f>
        <v>46357</v>
      </c>
      <c r="G21" s="28" t="s">
        <v>23</v>
      </c>
      <c r="H21" s="29"/>
      <c r="I21" s="30"/>
      <c r="J21" s="30"/>
    </row>
    <row r="22" ht="29.25" customHeight="1">
      <c r="A22" s="25">
        <v>11.0</v>
      </c>
      <c r="B22" s="25" t="s">
        <v>88</v>
      </c>
      <c r="C22" s="16" t="s">
        <v>303</v>
      </c>
      <c r="D22" s="26" t="s">
        <v>106</v>
      </c>
      <c r="E22" s="26" t="s">
        <v>295</v>
      </c>
      <c r="F22" s="27">
        <f>EDATE('Executive Summary'!$C$4,5)</f>
        <v>46447</v>
      </c>
      <c r="G22" s="28" t="s">
        <v>23</v>
      </c>
      <c r="H22" s="29"/>
      <c r="I22" s="30"/>
      <c r="J22" s="30"/>
    </row>
    <row r="23" ht="29.25" customHeight="1">
      <c r="A23" s="25">
        <v>12.0</v>
      </c>
      <c r="B23" s="25" t="s">
        <v>108</v>
      </c>
      <c r="C23" s="16" t="s">
        <v>305</v>
      </c>
      <c r="D23" s="26" t="s">
        <v>61</v>
      </c>
      <c r="E23" s="26" t="s">
        <v>295</v>
      </c>
      <c r="F23" s="25" t="s">
        <v>141</v>
      </c>
      <c r="G23" s="28" t="s">
        <v>23</v>
      </c>
      <c r="H23" s="29"/>
      <c r="I23" s="30"/>
      <c r="J23" s="30"/>
    </row>
    <row r="24" ht="42.0" customHeight="1">
      <c r="A24" s="20" t="s">
        <v>306</v>
      </c>
      <c r="B24" s="21"/>
      <c r="C24" s="22" t="s">
        <v>308</v>
      </c>
      <c r="D24" s="23" t="s">
        <v>310</v>
      </c>
      <c r="E24" s="24"/>
      <c r="F24" s="24"/>
      <c r="G24" s="24"/>
      <c r="H24" s="24"/>
      <c r="I24" s="24"/>
      <c r="J24" s="21"/>
    </row>
    <row r="25" ht="80.25" customHeight="1">
      <c r="A25" s="25">
        <v>13.0</v>
      </c>
      <c r="B25" s="25" t="s">
        <v>51</v>
      </c>
      <c r="C25" s="16" t="s">
        <v>311</v>
      </c>
      <c r="D25" s="26" t="s">
        <v>61</v>
      </c>
      <c r="E25" s="26" t="s">
        <v>62</v>
      </c>
      <c r="F25" s="27">
        <f>EDATE('Executive Summary'!$C$4,2)</f>
        <v>46357</v>
      </c>
      <c r="G25" s="28" t="s">
        <v>23</v>
      </c>
      <c r="H25" s="29"/>
      <c r="I25" s="30"/>
      <c r="J25" s="30" t="s">
        <v>316</v>
      </c>
    </row>
    <row r="26" ht="80.25" customHeight="1">
      <c r="A26" s="25">
        <v>14.0</v>
      </c>
      <c r="B26" s="25" t="s">
        <v>88</v>
      </c>
      <c r="C26" s="16" t="s">
        <v>318</v>
      </c>
      <c r="D26" s="26" t="s">
        <v>61</v>
      </c>
      <c r="E26" s="26" t="s">
        <v>62</v>
      </c>
      <c r="F26" s="27">
        <f>EDATE('Executive Summary'!$C$4,5)</f>
        <v>46447</v>
      </c>
      <c r="G26" s="28" t="s">
        <v>23</v>
      </c>
      <c r="H26" s="29"/>
      <c r="I26" s="30"/>
      <c r="J26" s="30" t="s">
        <v>325</v>
      </c>
    </row>
    <row r="27" ht="29.25" customHeight="1">
      <c r="A27" s="25">
        <v>15.0</v>
      </c>
      <c r="B27" s="25" t="s">
        <v>108</v>
      </c>
      <c r="C27" s="16" t="s">
        <v>332</v>
      </c>
      <c r="D27" s="26" t="s">
        <v>61</v>
      </c>
      <c r="E27" s="26" t="s">
        <v>62</v>
      </c>
      <c r="F27" s="25" t="s">
        <v>110</v>
      </c>
      <c r="G27" s="28" t="s">
        <v>23</v>
      </c>
      <c r="H27" s="29"/>
      <c r="I27" s="30"/>
      <c r="J27" s="30"/>
    </row>
    <row r="28" ht="15.75" customHeight="1">
      <c r="A28" s="34"/>
      <c r="B28" s="34"/>
      <c r="C28" s="34"/>
      <c r="D28" s="34"/>
      <c r="E28" s="34"/>
      <c r="F28" s="34"/>
      <c r="G28" s="35"/>
      <c r="H28" s="36"/>
      <c r="I28" s="35"/>
      <c r="J28" s="35"/>
    </row>
    <row r="29" ht="15.75" customHeight="1">
      <c r="A29" s="34"/>
      <c r="B29" s="34"/>
      <c r="C29" s="34"/>
      <c r="D29" s="34"/>
      <c r="E29" s="34"/>
      <c r="F29" s="34"/>
      <c r="G29" s="35"/>
      <c r="H29" s="36"/>
      <c r="I29" s="35"/>
      <c r="J29" s="35"/>
    </row>
    <row r="30" ht="15.75" customHeight="1">
      <c r="A30" s="38" t="s">
        <v>127</v>
      </c>
      <c r="B30" s="24"/>
      <c r="C30" s="21"/>
      <c r="D30" s="40">
        <f>COUNTIF($G$11:$G$29,"Done")</f>
        <v>0</v>
      </c>
      <c r="E30" s="41" t="str">
        <f>"of "&amp;(COUNTA($B$11:$B$29))&amp;" actions"</f>
        <v>of 15 actions</v>
      </c>
      <c r="F30" s="43"/>
      <c r="G30" s="44" t="s">
        <v>18</v>
      </c>
      <c r="H30" s="45">
        <f>IFERROR(SUM($H$11:$H$29)/(COUNTA($B$11:$B$29)),0)</f>
        <v>0</v>
      </c>
      <c r="I30" s="43"/>
      <c r="J30" s="43"/>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24:B24"/>
    <mergeCell ref="A30:C30"/>
    <mergeCell ref="A2:B2"/>
    <mergeCell ref="A6:J6"/>
    <mergeCell ref="A10:B10"/>
    <mergeCell ref="D10:J10"/>
    <mergeCell ref="A15:B15"/>
    <mergeCell ref="D15:J15"/>
    <mergeCell ref="D24:J24"/>
  </mergeCells>
  <dataValidations>
    <dataValidation type="decimal" allowBlank="1" showInputMessage="1" showErrorMessage="1" prompt="% - Enter a value from 0% to 100%" sqref="H11:H14 H16:H23 H25:H29">
      <formula1>0.0</formula1>
      <formula2>1.0</formula2>
    </dataValidation>
    <dataValidation type="list" allowBlank="1" sqref="G2">
      <formula1>"Not started,On track,At risk,Behind,Done"</formula1>
    </dataValidation>
    <dataValidation type="list" allowBlank="1" sqref="G11:G14 G16:G23 G25:G29">
      <formula1>"Not started,In progress,Done,Blocked"</formula1>
    </dataValidation>
  </dataValidation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2.0" topLeftCell="A13" activePane="bottomLeft" state="frozen"/>
      <selection activeCell="B14" sqref="B14" pane="bottomLeft"/>
    </sheetView>
  </sheetViews>
  <sheetFormatPr customHeight="1" defaultColWidth="12.63" defaultRowHeight="15.0"/>
  <cols>
    <col customWidth="1" min="1" max="1" width="4.38"/>
    <col customWidth="1" min="2" max="2" width="10.5"/>
    <col customWidth="1" min="3" max="3" width="15.75"/>
    <col customWidth="1" min="4" max="4" width="8.75"/>
    <col customWidth="1" min="5" max="5" width="12.25"/>
    <col customWidth="1" min="6" max="6" width="56.0"/>
    <col customWidth="1" min="7" max="7" width="40.25"/>
    <col customWidth="1" min="8" max="8" width="15.75"/>
    <col customWidth="1" min="9" max="9" width="10.5"/>
    <col customWidth="1" min="10" max="10" width="9.63"/>
    <col customWidth="1" min="11" max="26" width="7.63"/>
  </cols>
  <sheetData>
    <row r="1">
      <c r="A1" s="6" t="s">
        <v>304</v>
      </c>
    </row>
    <row r="2" ht="25.5" customHeight="1">
      <c r="A2" s="46" t="s">
        <v>307</v>
      </c>
    </row>
    <row r="4">
      <c r="A4" s="5" t="s">
        <v>309</v>
      </c>
    </row>
    <row r="5">
      <c r="A5" s="47">
        <v>1.0</v>
      </c>
      <c r="B5" s="7" t="s">
        <v>312</v>
      </c>
    </row>
    <row r="6">
      <c r="A6" s="47">
        <v>2.0</v>
      </c>
      <c r="B6" s="7" t="s">
        <v>313</v>
      </c>
    </row>
    <row r="7">
      <c r="A7" s="47">
        <v>3.0</v>
      </c>
      <c r="B7" s="7" t="s">
        <v>314</v>
      </c>
    </row>
    <row r="8">
      <c r="A8" s="47">
        <v>4.0</v>
      </c>
      <c r="B8" s="7" t="s">
        <v>315</v>
      </c>
    </row>
    <row r="9">
      <c r="A9" s="47">
        <v>5.0</v>
      </c>
      <c r="B9" s="7" t="s">
        <v>317</v>
      </c>
    </row>
    <row r="11">
      <c r="A11" s="5" t="s">
        <v>319</v>
      </c>
    </row>
    <row r="12">
      <c r="A12" s="12" t="s">
        <v>29</v>
      </c>
      <c r="B12" s="12" t="s">
        <v>320</v>
      </c>
      <c r="C12" s="12" t="s">
        <v>321</v>
      </c>
      <c r="D12" s="12" t="s">
        <v>15</v>
      </c>
      <c r="E12" s="12" t="s">
        <v>324</v>
      </c>
      <c r="F12" s="12" t="s">
        <v>326</v>
      </c>
      <c r="G12" s="12" t="s">
        <v>328</v>
      </c>
      <c r="H12" s="12" t="s">
        <v>330</v>
      </c>
      <c r="I12" s="12" t="s">
        <v>33</v>
      </c>
      <c r="J12" s="12" t="s">
        <v>14</v>
      </c>
    </row>
    <row r="13">
      <c r="A13" s="49">
        <v>1.0</v>
      </c>
      <c r="B13" s="50" t="s">
        <v>335</v>
      </c>
      <c r="C13" s="50" t="s">
        <v>346</v>
      </c>
      <c r="D13" s="50" t="s">
        <v>19</v>
      </c>
      <c r="E13" s="50" t="s">
        <v>352</v>
      </c>
      <c r="F13" s="50" t="s">
        <v>354</v>
      </c>
      <c r="G13" s="50" t="s">
        <v>355</v>
      </c>
      <c r="H13" s="50" t="s">
        <v>56</v>
      </c>
      <c r="I13" s="50" t="s">
        <v>357</v>
      </c>
      <c r="J13" s="50" t="s">
        <v>359</v>
      </c>
    </row>
    <row r="14">
      <c r="A14" s="25">
        <v>2.0</v>
      </c>
      <c r="B14" s="26"/>
      <c r="C14" s="26"/>
      <c r="D14" s="26"/>
      <c r="E14" s="26"/>
      <c r="F14" s="26"/>
      <c r="G14" s="26"/>
      <c r="H14" s="26"/>
      <c r="I14" s="26"/>
      <c r="J14" s="26"/>
    </row>
    <row r="15">
      <c r="A15" s="25">
        <v>3.0</v>
      </c>
      <c r="B15" s="26"/>
      <c r="C15" s="26"/>
      <c r="D15" s="26"/>
      <c r="E15" s="26"/>
      <c r="F15" s="26"/>
      <c r="G15" s="26"/>
      <c r="H15" s="26"/>
      <c r="I15" s="26"/>
      <c r="J15" s="26"/>
    </row>
    <row r="16">
      <c r="A16" s="25">
        <v>4.0</v>
      </c>
      <c r="B16" s="26"/>
      <c r="C16" s="26"/>
      <c r="D16" s="26"/>
      <c r="E16" s="26"/>
      <c r="F16" s="26"/>
      <c r="G16" s="26"/>
      <c r="H16" s="26"/>
      <c r="I16" s="26"/>
      <c r="J16" s="26"/>
    </row>
    <row r="17">
      <c r="A17" s="25">
        <v>5.0</v>
      </c>
      <c r="B17" s="26"/>
      <c r="C17" s="26"/>
      <c r="D17" s="26"/>
      <c r="E17" s="26"/>
      <c r="F17" s="26"/>
      <c r="G17" s="26"/>
      <c r="H17" s="26"/>
      <c r="I17" s="26"/>
      <c r="J17" s="26"/>
    </row>
    <row r="18">
      <c r="A18" s="25">
        <v>6.0</v>
      </c>
      <c r="B18" s="26"/>
      <c r="C18" s="26"/>
      <c r="D18" s="26"/>
      <c r="E18" s="26"/>
      <c r="F18" s="26"/>
      <c r="G18" s="26"/>
      <c r="H18" s="26"/>
      <c r="I18" s="26"/>
      <c r="J18" s="26"/>
    </row>
    <row r="19">
      <c r="A19" s="25">
        <v>7.0</v>
      </c>
      <c r="B19" s="26"/>
      <c r="C19" s="26"/>
      <c r="D19" s="26"/>
      <c r="E19" s="26"/>
      <c r="F19" s="26"/>
      <c r="G19" s="26"/>
      <c r="H19" s="26"/>
      <c r="I19" s="26"/>
      <c r="J19" s="26"/>
    </row>
    <row r="20">
      <c r="A20" s="25">
        <v>8.0</v>
      </c>
      <c r="B20" s="26"/>
      <c r="C20" s="26"/>
      <c r="D20" s="26"/>
      <c r="E20" s="26"/>
      <c r="F20" s="26"/>
      <c r="G20" s="26"/>
      <c r="H20" s="26"/>
      <c r="I20" s="26"/>
      <c r="J20" s="26"/>
    </row>
    <row r="21" ht="15.75" customHeight="1">
      <c r="A21" s="25">
        <v>9.0</v>
      </c>
      <c r="B21" s="26"/>
      <c r="C21" s="26"/>
      <c r="D21" s="26"/>
      <c r="E21" s="26"/>
      <c r="F21" s="26"/>
      <c r="G21" s="26"/>
      <c r="H21" s="26"/>
      <c r="I21" s="26"/>
      <c r="J21" s="26"/>
    </row>
    <row r="22" ht="15.75" customHeight="1">
      <c r="A22" s="25">
        <v>10.0</v>
      </c>
      <c r="B22" s="26"/>
      <c r="C22" s="26"/>
      <c r="D22" s="26"/>
      <c r="E22" s="26"/>
      <c r="F22" s="26"/>
      <c r="G22" s="26"/>
      <c r="H22" s="26"/>
      <c r="I22" s="26"/>
      <c r="J22" s="26"/>
    </row>
    <row r="23" ht="15.75" customHeight="1">
      <c r="A23" s="25">
        <v>11.0</v>
      </c>
      <c r="B23" s="26"/>
      <c r="C23" s="26"/>
      <c r="D23" s="26"/>
      <c r="E23" s="26"/>
      <c r="F23" s="26"/>
      <c r="G23" s="26"/>
      <c r="H23" s="26"/>
      <c r="I23" s="26"/>
      <c r="J23" s="26"/>
    </row>
    <row r="24" ht="15.75" customHeight="1">
      <c r="A24" s="25">
        <v>12.0</v>
      </c>
      <c r="B24" s="26"/>
      <c r="C24" s="26"/>
      <c r="D24" s="26"/>
      <c r="E24" s="26"/>
      <c r="F24" s="26"/>
      <c r="G24" s="26"/>
      <c r="H24" s="26"/>
      <c r="I24" s="26"/>
      <c r="J24" s="26"/>
    </row>
    <row r="25" ht="15.75" customHeight="1">
      <c r="A25" s="25">
        <v>13.0</v>
      </c>
      <c r="B25" s="26"/>
      <c r="C25" s="26"/>
      <c r="D25" s="26"/>
      <c r="E25" s="26"/>
      <c r="F25" s="26"/>
      <c r="G25" s="26"/>
      <c r="H25" s="26"/>
      <c r="I25" s="26"/>
      <c r="J25" s="26"/>
    </row>
    <row r="26" ht="15.75" customHeight="1">
      <c r="A26" s="25">
        <v>14.0</v>
      </c>
      <c r="B26" s="26"/>
      <c r="C26" s="26"/>
      <c r="D26" s="26"/>
      <c r="E26" s="26"/>
      <c r="F26" s="26"/>
      <c r="G26" s="26"/>
      <c r="H26" s="26"/>
      <c r="I26" s="26"/>
      <c r="J26" s="26"/>
    </row>
    <row r="27" ht="15.75" customHeight="1">
      <c r="A27" s="25">
        <v>15.0</v>
      </c>
      <c r="B27" s="26"/>
      <c r="C27" s="26"/>
      <c r="D27" s="26"/>
      <c r="E27" s="26"/>
      <c r="F27" s="26"/>
      <c r="G27" s="26"/>
      <c r="H27" s="26"/>
      <c r="I27" s="26"/>
      <c r="J27" s="26"/>
    </row>
    <row r="28" ht="15.75" customHeight="1">
      <c r="A28" s="25">
        <v>16.0</v>
      </c>
      <c r="B28" s="26"/>
      <c r="C28" s="26"/>
      <c r="D28" s="26"/>
      <c r="E28" s="26"/>
      <c r="F28" s="26"/>
      <c r="G28" s="26"/>
      <c r="H28" s="26"/>
      <c r="I28" s="26"/>
      <c r="J28" s="26"/>
    </row>
    <row r="29" ht="15.75" customHeight="1">
      <c r="A29" s="25">
        <v>17.0</v>
      </c>
      <c r="B29" s="26"/>
      <c r="C29" s="26"/>
      <c r="D29" s="26"/>
      <c r="E29" s="26"/>
      <c r="F29" s="26"/>
      <c r="G29" s="26"/>
      <c r="H29" s="26"/>
      <c r="I29" s="26"/>
      <c r="J29" s="26"/>
    </row>
    <row r="30" ht="15.75" customHeight="1">
      <c r="A30" s="25">
        <v>18.0</v>
      </c>
      <c r="B30" s="26"/>
      <c r="C30" s="26"/>
      <c r="D30" s="26"/>
      <c r="E30" s="26"/>
      <c r="F30" s="26"/>
      <c r="G30" s="26"/>
      <c r="H30" s="26"/>
      <c r="I30" s="26"/>
      <c r="J30" s="26"/>
    </row>
    <row r="31" ht="15.75" customHeight="1">
      <c r="A31" s="25">
        <v>19.0</v>
      </c>
      <c r="B31" s="26"/>
      <c r="C31" s="26"/>
      <c r="D31" s="26"/>
      <c r="E31" s="26"/>
      <c r="F31" s="26"/>
      <c r="G31" s="26"/>
      <c r="H31" s="26"/>
      <c r="I31" s="26"/>
      <c r="J31" s="26"/>
    </row>
    <row r="32" ht="15.75" customHeight="1">
      <c r="A32" s="25">
        <v>20.0</v>
      </c>
      <c r="B32" s="26"/>
      <c r="C32" s="26"/>
      <c r="D32" s="26"/>
      <c r="E32" s="26"/>
      <c r="F32" s="26"/>
      <c r="G32" s="26"/>
      <c r="H32" s="26"/>
      <c r="I32" s="26"/>
      <c r="J32" s="26"/>
    </row>
    <row r="33" ht="15.75" customHeight="1">
      <c r="A33" s="25">
        <v>21.0</v>
      </c>
      <c r="B33" s="26"/>
      <c r="C33" s="26"/>
      <c r="D33" s="26"/>
      <c r="E33" s="26"/>
      <c r="F33" s="26"/>
      <c r="G33" s="26"/>
      <c r="H33" s="26"/>
      <c r="I33" s="26"/>
      <c r="J33" s="26"/>
    </row>
    <row r="34" ht="15.75" customHeight="1">
      <c r="A34" s="25">
        <v>22.0</v>
      </c>
      <c r="B34" s="26"/>
      <c r="C34" s="26"/>
      <c r="D34" s="26"/>
      <c r="E34" s="26"/>
      <c r="F34" s="26"/>
      <c r="G34" s="26"/>
      <c r="H34" s="26"/>
      <c r="I34" s="26"/>
      <c r="J34" s="26"/>
    </row>
    <row r="35" ht="15.75" customHeight="1">
      <c r="A35" s="25">
        <v>23.0</v>
      </c>
      <c r="B35" s="26"/>
      <c r="C35" s="26"/>
      <c r="D35" s="26"/>
      <c r="E35" s="26"/>
      <c r="F35" s="26"/>
      <c r="G35" s="26"/>
      <c r="H35" s="26"/>
      <c r="I35" s="26"/>
      <c r="J35" s="26"/>
    </row>
    <row r="36" ht="15.75" customHeight="1">
      <c r="A36" s="25">
        <v>24.0</v>
      </c>
      <c r="B36" s="26"/>
      <c r="C36" s="26"/>
      <c r="D36" s="26"/>
      <c r="E36" s="26"/>
      <c r="F36" s="26"/>
      <c r="G36" s="26"/>
      <c r="H36" s="26"/>
      <c r="I36" s="26"/>
      <c r="J36" s="26"/>
    </row>
    <row r="37" ht="15.75" customHeight="1">
      <c r="A37" s="25">
        <v>25.0</v>
      </c>
      <c r="B37" s="26"/>
      <c r="C37" s="26"/>
      <c r="D37" s="26"/>
      <c r="E37" s="26"/>
      <c r="F37" s="26"/>
      <c r="G37" s="26"/>
      <c r="H37" s="26"/>
      <c r="I37" s="26"/>
      <c r="J37" s="26"/>
    </row>
    <row r="38" ht="15.75" customHeight="1">
      <c r="A38" s="25">
        <v>26.0</v>
      </c>
      <c r="B38" s="26"/>
      <c r="C38" s="26"/>
      <c r="D38" s="26"/>
      <c r="E38" s="26"/>
      <c r="F38" s="26"/>
      <c r="G38" s="26"/>
      <c r="H38" s="26"/>
      <c r="I38" s="26"/>
      <c r="J38" s="26"/>
    </row>
    <row r="39" ht="15.75" customHeight="1">
      <c r="A39" s="25">
        <v>27.0</v>
      </c>
      <c r="B39" s="26"/>
      <c r="C39" s="26"/>
      <c r="D39" s="26"/>
      <c r="E39" s="26"/>
      <c r="F39" s="26"/>
      <c r="G39" s="26"/>
      <c r="H39" s="26"/>
      <c r="I39" s="26"/>
      <c r="J39" s="26"/>
    </row>
    <row r="40" ht="15.75" customHeight="1">
      <c r="A40" s="25">
        <v>28.0</v>
      </c>
      <c r="B40" s="26"/>
      <c r="C40" s="26"/>
      <c r="D40" s="26"/>
      <c r="E40" s="26"/>
      <c r="F40" s="26"/>
      <c r="G40" s="26"/>
      <c r="H40" s="26"/>
      <c r="I40" s="26"/>
      <c r="J40" s="26"/>
    </row>
    <row r="41" ht="15.75" customHeight="1">
      <c r="A41" s="25">
        <v>29.0</v>
      </c>
      <c r="B41" s="26"/>
      <c r="C41" s="26"/>
      <c r="D41" s="26"/>
      <c r="E41" s="26"/>
      <c r="F41" s="26"/>
      <c r="G41" s="26"/>
      <c r="H41" s="26"/>
      <c r="I41" s="26"/>
      <c r="J41" s="26"/>
    </row>
    <row r="42" ht="15.75" customHeight="1">
      <c r="A42" s="25">
        <v>30.0</v>
      </c>
      <c r="B42" s="26"/>
      <c r="C42" s="26"/>
      <c r="D42" s="26"/>
      <c r="E42" s="26"/>
      <c r="F42" s="26"/>
      <c r="G42" s="26"/>
      <c r="H42" s="26"/>
      <c r="I42" s="26"/>
      <c r="J42" s="26"/>
    </row>
    <row r="43" ht="15.75" customHeight="1">
      <c r="A43" s="25">
        <v>31.0</v>
      </c>
      <c r="B43" s="26"/>
      <c r="C43" s="26"/>
      <c r="D43" s="26"/>
      <c r="E43" s="26"/>
      <c r="F43" s="26"/>
      <c r="G43" s="26"/>
      <c r="H43" s="26"/>
      <c r="I43" s="26"/>
      <c r="J43" s="26"/>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9:J9"/>
    <mergeCell ref="A11:J11"/>
    <mergeCell ref="A1:J1"/>
    <mergeCell ref="A2:J2"/>
    <mergeCell ref="A4:J4"/>
    <mergeCell ref="B5:J5"/>
    <mergeCell ref="B6:J6"/>
    <mergeCell ref="B7:J7"/>
    <mergeCell ref="B8:J8"/>
  </mergeCells>
  <dataValidations>
    <dataValidation type="list" allowBlank="1" sqref="C13:C43">
      <formula1>"MC meeting,BOD meeting,Quarterly review,Report,Ad-hoc"</formula1>
    </dataValidation>
    <dataValidation type="list" allowBlank="1" sqref="D13:D43">
      <formula1>"General,O1,O2,O3,O4,O5,O6"</formula1>
    </dataValidation>
    <dataValidation type="list" allowBlank="1" sqref="E13:E43">
      <formula1>"Approved,Confirmed,Reported,Deferred,Rejected"</formula1>
    </dataValidation>
    <dataValidation type="list" allowBlank="1" sqref="J13:J43">
      <formula1>"Open,Done"</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7.0"/>
    <col customWidth="1" min="2" max="2" width="91.88"/>
    <col customWidth="1" min="3" max="3" width="14.0"/>
    <col customWidth="1" min="4" max="26" width="7.63"/>
  </cols>
  <sheetData>
    <row r="1">
      <c r="A1" s="6" t="s">
        <v>322</v>
      </c>
    </row>
    <row r="2">
      <c r="A2" s="2" t="s">
        <v>323</v>
      </c>
    </row>
    <row r="4">
      <c r="A4" s="12" t="s">
        <v>327</v>
      </c>
      <c r="B4" s="12" t="s">
        <v>329</v>
      </c>
      <c r="C4" s="12" t="s">
        <v>331</v>
      </c>
    </row>
    <row r="5">
      <c r="A5" s="48" t="s">
        <v>333</v>
      </c>
      <c r="B5" s="24"/>
      <c r="C5" s="21"/>
    </row>
    <row r="6" ht="18.0" customHeight="1">
      <c r="A6" s="14" t="s">
        <v>38</v>
      </c>
      <c r="B6" s="16" t="s">
        <v>334</v>
      </c>
      <c r="C6" s="18" t="s">
        <v>38</v>
      </c>
    </row>
    <row r="7" ht="29.25" customHeight="1">
      <c r="A7" s="14" t="s">
        <v>91</v>
      </c>
      <c r="B7" s="16" t="s">
        <v>336</v>
      </c>
      <c r="C7" s="18" t="s">
        <v>337</v>
      </c>
    </row>
    <row r="8" ht="18.0" customHeight="1">
      <c r="A8" s="14" t="s">
        <v>338</v>
      </c>
      <c r="B8" s="16" t="s">
        <v>339</v>
      </c>
      <c r="C8" s="18" t="s">
        <v>340</v>
      </c>
    </row>
    <row r="9" ht="18.0" customHeight="1">
      <c r="A9" s="14" t="s">
        <v>341</v>
      </c>
      <c r="B9" s="16" t="s">
        <v>342</v>
      </c>
      <c r="C9" s="18" t="s">
        <v>250</v>
      </c>
    </row>
    <row r="10" ht="29.25" customHeight="1">
      <c r="A10" s="14" t="s">
        <v>343</v>
      </c>
      <c r="B10" s="16" t="s">
        <v>344</v>
      </c>
      <c r="C10" s="18" t="s">
        <v>91</v>
      </c>
    </row>
    <row r="11">
      <c r="A11" s="48" t="s">
        <v>345</v>
      </c>
      <c r="B11" s="24"/>
      <c r="C11" s="21"/>
    </row>
    <row r="12" ht="18.0" customHeight="1">
      <c r="A12" s="14" t="s">
        <v>47</v>
      </c>
      <c r="B12" s="16" t="s">
        <v>347</v>
      </c>
      <c r="C12" s="18" t="s">
        <v>340</v>
      </c>
    </row>
    <row r="13" ht="29.25" customHeight="1">
      <c r="A13" s="14" t="s">
        <v>126</v>
      </c>
      <c r="B13" s="16" t="s">
        <v>348</v>
      </c>
      <c r="C13" s="18" t="s">
        <v>340</v>
      </c>
    </row>
    <row r="14" ht="18.0" customHeight="1">
      <c r="A14" s="14" t="s">
        <v>188</v>
      </c>
      <c r="B14" s="16" t="s">
        <v>349</v>
      </c>
      <c r="C14" s="18" t="s">
        <v>198</v>
      </c>
    </row>
    <row r="15" ht="18.0" customHeight="1">
      <c r="A15" s="14" t="s">
        <v>198</v>
      </c>
      <c r="B15" s="16" t="s">
        <v>350</v>
      </c>
      <c r="C15" s="18" t="s">
        <v>198</v>
      </c>
    </row>
    <row r="16" ht="18.0" customHeight="1">
      <c r="A16" s="14" t="s">
        <v>351</v>
      </c>
      <c r="B16" s="16" t="s">
        <v>353</v>
      </c>
      <c r="C16" s="18" t="s">
        <v>198</v>
      </c>
    </row>
    <row r="17">
      <c r="A17" s="48" t="s">
        <v>356</v>
      </c>
      <c r="B17" s="24"/>
      <c r="C17" s="21"/>
    </row>
    <row r="18" ht="29.25" customHeight="1">
      <c r="A18" s="14" t="s">
        <v>48</v>
      </c>
      <c r="B18" s="16" t="s">
        <v>358</v>
      </c>
      <c r="C18" s="18" t="s">
        <v>48</v>
      </c>
    </row>
    <row r="19" ht="29.25" customHeight="1">
      <c r="A19" s="14" t="s">
        <v>112</v>
      </c>
      <c r="B19" s="16" t="s">
        <v>360</v>
      </c>
      <c r="C19" s="18" t="s">
        <v>48</v>
      </c>
    </row>
    <row r="20" ht="18.0" customHeight="1">
      <c r="A20" s="14" t="s">
        <v>146</v>
      </c>
      <c r="B20" s="16" t="s">
        <v>361</v>
      </c>
      <c r="C20" s="18" t="s">
        <v>362</v>
      </c>
    </row>
    <row r="21" ht="18.0" customHeight="1">
      <c r="A21" s="14" t="s">
        <v>363</v>
      </c>
      <c r="B21" s="16" t="s">
        <v>364</v>
      </c>
      <c r="C21" s="18" t="s">
        <v>365</v>
      </c>
    </row>
    <row r="22" ht="29.25" customHeight="1">
      <c r="A22" s="14" t="s">
        <v>366</v>
      </c>
      <c r="B22" s="16" t="s">
        <v>367</v>
      </c>
      <c r="C22" s="18" t="s">
        <v>48</v>
      </c>
    </row>
    <row r="23" ht="15.75" customHeight="1">
      <c r="A23" s="48" t="s">
        <v>368</v>
      </c>
      <c r="B23" s="24"/>
      <c r="C23" s="21"/>
    </row>
    <row r="24" ht="18.0" customHeight="1">
      <c r="A24" s="14" t="s">
        <v>214</v>
      </c>
      <c r="B24" s="16" t="s">
        <v>369</v>
      </c>
      <c r="C24" s="18" t="s">
        <v>214</v>
      </c>
    </row>
    <row r="25" ht="18.0" customHeight="1">
      <c r="A25" s="14" t="s">
        <v>241</v>
      </c>
      <c r="B25" s="16" t="s">
        <v>370</v>
      </c>
      <c r="C25" s="18" t="s">
        <v>214</v>
      </c>
    </row>
    <row r="26" ht="18.0" customHeight="1">
      <c r="A26" s="14" t="s">
        <v>275</v>
      </c>
      <c r="B26" s="16" t="s">
        <v>371</v>
      </c>
      <c r="C26" s="18" t="s">
        <v>372</v>
      </c>
    </row>
    <row r="27" ht="18.0" customHeight="1">
      <c r="A27" s="14" t="s">
        <v>373</v>
      </c>
      <c r="B27" s="16" t="s">
        <v>374</v>
      </c>
      <c r="C27" s="18" t="s">
        <v>275</v>
      </c>
    </row>
    <row r="28" ht="18.0" customHeight="1">
      <c r="A28" s="14" t="s">
        <v>375</v>
      </c>
      <c r="B28" s="16" t="s">
        <v>376</v>
      </c>
      <c r="C28" s="18" t="s">
        <v>340</v>
      </c>
    </row>
    <row r="29" ht="29.25" customHeight="1">
      <c r="A29" s="14" t="s">
        <v>377</v>
      </c>
      <c r="B29" s="16" t="s">
        <v>378</v>
      </c>
      <c r="C29" s="18" t="s">
        <v>241</v>
      </c>
    </row>
    <row r="30" ht="15.75" customHeight="1">
      <c r="A30" s="48" t="s">
        <v>379</v>
      </c>
      <c r="B30" s="24"/>
      <c r="C30" s="21"/>
    </row>
    <row r="31" ht="18.0" customHeight="1">
      <c r="A31" s="14" t="s">
        <v>211</v>
      </c>
      <c r="B31" s="16" t="s">
        <v>380</v>
      </c>
      <c r="C31" s="18" t="s">
        <v>211</v>
      </c>
    </row>
    <row r="32" ht="29.25" customHeight="1">
      <c r="A32" s="14" t="s">
        <v>233</v>
      </c>
      <c r="B32" s="16" t="s">
        <v>381</v>
      </c>
      <c r="C32" s="18" t="s">
        <v>211</v>
      </c>
    </row>
    <row r="33" ht="18.0" customHeight="1">
      <c r="A33" s="14" t="s">
        <v>250</v>
      </c>
      <c r="B33" s="16" t="s">
        <v>382</v>
      </c>
      <c r="C33" s="18" t="s">
        <v>233</v>
      </c>
    </row>
    <row r="34" ht="18.0" customHeight="1">
      <c r="A34" s="14" t="s">
        <v>383</v>
      </c>
      <c r="B34" s="16" t="s">
        <v>384</v>
      </c>
      <c r="C34" s="18" t="s">
        <v>250</v>
      </c>
    </row>
    <row r="35" ht="18.0" customHeight="1">
      <c r="A35" s="14" t="s">
        <v>385</v>
      </c>
      <c r="B35" s="16" t="s">
        <v>386</v>
      </c>
      <c r="C35" s="18" t="s">
        <v>91</v>
      </c>
    </row>
    <row r="36" ht="15.75" customHeight="1">
      <c r="A36" s="48" t="s">
        <v>387</v>
      </c>
      <c r="B36" s="24"/>
      <c r="C36" s="21"/>
    </row>
    <row r="37" ht="18.0" customHeight="1">
      <c r="A37" s="14" t="s">
        <v>272</v>
      </c>
      <c r="B37" s="16" t="s">
        <v>388</v>
      </c>
      <c r="C37" s="18" t="s">
        <v>272</v>
      </c>
    </row>
    <row r="38" ht="29.25" customHeight="1">
      <c r="A38" s="14" t="s">
        <v>291</v>
      </c>
      <c r="B38" s="16" t="s">
        <v>389</v>
      </c>
      <c r="C38" s="18" t="s">
        <v>390</v>
      </c>
    </row>
    <row r="39" ht="18.0" customHeight="1">
      <c r="A39" s="14" t="s">
        <v>306</v>
      </c>
      <c r="B39" s="16" t="s">
        <v>391</v>
      </c>
      <c r="C39" s="18" t="s">
        <v>390</v>
      </c>
    </row>
    <row r="40" ht="18.0" customHeight="1">
      <c r="A40" s="14" t="s">
        <v>392</v>
      </c>
      <c r="B40" s="16" t="s">
        <v>393</v>
      </c>
      <c r="C40" s="18" t="s">
        <v>146</v>
      </c>
    </row>
    <row r="41" ht="18.0" customHeight="1">
      <c r="A41" s="14" t="s">
        <v>394</v>
      </c>
      <c r="B41" s="16" t="s">
        <v>395</v>
      </c>
      <c r="C41" s="18" t="s">
        <v>272</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5:C5"/>
    <mergeCell ref="A11:C11"/>
    <mergeCell ref="A17:C17"/>
    <mergeCell ref="A23:C23"/>
    <mergeCell ref="A30:C30"/>
    <mergeCell ref="A36:C36"/>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2026-09-23T08:27:02Z</dcterms:created>
  <dc:creator>openpyxl</dc:creator>
</cp:coreProperties>
</file>