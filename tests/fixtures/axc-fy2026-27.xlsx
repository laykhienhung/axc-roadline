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cutive Summary" sheetId="1" r:id="rId4"/>
    <sheet state="visible" name="T1 Build" sheetId="2" r:id="rId5"/>
    <sheet state="visible" name="T2 Adoption" sheetId="3" r:id="rId6"/>
    <sheet state="visible" name="T3 Management" sheetId="4" r:id="rId7"/>
    <sheet state="visible" name="T4 Technology" sheetId="5" r:id="rId8"/>
    <sheet state="visible" name="Meeting Log" sheetId="6" r:id="rId9"/>
  </sheets>
  <definedNames>
    <definedName hidden="1" localSheetId="5" name="_xlnm._FilterDatabase">'Meeting Log'!$A$12:$J$43</definedName>
  </definedNames>
  <calcPr/>
  <extLst>
    <ext uri="GoogleSheetsCustomDataVersion2">
      <go:sheetsCustomData xmlns:go="http://customooxmlschemas.google.com/" r:id="rId10" roundtripDataChecksum="AIjvmpVHUYXfnYjeHQljiPADxg5wyGf5Ma/ReE/q+iw="/>
    </ext>
  </extLst>
</workbook>
</file>

<file path=xl/sharedStrings.xml><?xml version="1.0" encoding="utf-8"?>
<sst xmlns="http://schemas.openxmlformats.org/spreadsheetml/2006/main" count="777" uniqueCount="450">
  <si>
    <t>q</t>
  </si>
  <si>
    <t>T2 - Drive Adoption Across Teams</t>
  </si>
  <si>
    <t>T1 - Build AI Tools &amp; Automation</t>
  </si>
  <si>
    <t>Annual plan  |  September 2026 - August 2027  |  Q1 Sep-Nov 26 . Q2 Dec-Feb 27 . Q3 Mar-May 27 . Q4 Jun-Aug 27</t>
  </si>
  <si>
    <t>Weight</t>
  </si>
  <si>
    <t>1  AXC OVERVIEW</t>
  </si>
  <si>
    <t>Owner</t>
  </si>
  <si>
    <t>Coordinator</t>
  </si>
  <si>
    <t>Developer</t>
  </si>
  <si>
    <t>Status</t>
  </si>
  <si>
    <t>Team</t>
  </si>
  <si>
    <t>AI Transformation Team (AXC)</t>
  </si>
  <si>
    <t>What we are here to do</t>
  </si>
  <si>
    <t>AXC gets AI genuinely used in how the company builds software and runs its operations - not by researching AI or building AI products to sell, but by taking AI that already exists and putting it to work inside our own teams. Five kinds of work:
  -   Build automation tools ourselves rather than buying them
  -   Build the shared groundwork and a library of ready-made templates and tools
  -   Train everyone in the company to use AI in their own role
  -   Work with each project team so AI becomes a normal step in how they build software
  -   Keep AI accounts, spending and data rules under control, with a person responsible for what AI produces
We are judged on whether AI is actually being used, not on what was delivered.</t>
  </si>
  <si>
    <t>2  TARGETS &amp; EXPECTED OUTCOMES</t>
  </si>
  <si>
    <t>Weight shows how heavy and how high a priority this target is relative to the other three. It is not a score.</t>
  </si>
  <si>
    <t>1  OBJECTIVE</t>
  </si>
  <si>
    <t>ID</t>
  </si>
  <si>
    <t>Target</t>
  </si>
  <si>
    <t>Objective</t>
  </si>
  <si>
    <t>Expected outcomes by Q4 2027</t>
  </si>
  <si>
    <t>Get AI into the day-to-day work of the project teams, and into the hands of everyone else in the company. One named contact in each team plus a regular schedule of sharing sessions, so AI becomes a written step in how they build software rather than a personal habit; and a company-wide training programme at three levels, tailored by role. Training counts as successful only when the person actually starts using AI afterwards, and internal trainers are developed early because a team of five cannot train a company on its own.</t>
  </si>
  <si>
    <t>Progress</t>
  </si>
  <si>
    <t>Build the tools that put AI into everyday work, together with the shared groundwork underneath them. Automation tools take routine work off each team's hands; the shared gateway and template library stop every team solving the same problem from scratch. Nothing is built until the team that will use it confirms it needs it, and success is judged by whether people are still using it months later.</t>
  </si>
  <si>
    <t>T1</t>
  </si>
  <si>
    <t>2  WHAT THIS MUST ACHIEVE</t>
  </si>
  <si>
    <t>Build AI Tools &amp; Automation</t>
  </si>
  <si>
    <t>Get one named contact from every project team, starting with the two largest groups.</t>
  </si>
  <si>
    <t>Confirm what each team actually needs before building anything for them.</t>
  </si>
  <si>
    <t>Run sharing sessions regularly rather than on request.</t>
  </si>
  <si>
    <t>Give every item on the backlog a clear timeline and a named owner.</t>
  </si>
  <si>
    <t>Aim for AI to become a normal, written step in how each team builds software.</t>
  </si>
  <si>
    <t>Make sure each tool is genuinely used after it goes live - delivery alone does not count as success.</t>
  </si>
  <si>
    <t>Train everyone in the company, not only the development teams.</t>
  </si>
  <si>
    <t>Keep collecting feedback from the teams using the tools, and improve on it.</t>
  </si>
  <si>
    <t>Tailor the training to each kind of role and offer three levels of depth.</t>
  </si>
  <si>
    <t>-  Automation tools built in-house, not bought
-  CV screening tool for the HR office
-  A shared AI gateway everything runs through
-  A library of ready-made templates and tools
-  Built only on confirmed need; judged on real use</t>
  </si>
  <si>
    <t>Count training as successful only when the person actually starts using AI afterwards.</t>
  </si>
  <si>
    <t>Deliver the CV screening tool to the HR office.</t>
  </si>
  <si>
    <t>Build internal trainers so the programme does not depend on AXC alone.</t>
  </si>
  <si>
    <r>
      <rPr>
        <rFont val="Arial"/>
        <color rgb="FF000000"/>
        <sz val="10.0"/>
      </rPr>
      <t xml:space="preserve">5 automation </t>
    </r>
    <r>
      <rPr>
        <rFont val="Arial"/>
        <b/>
        <color rgb="FF000000"/>
        <sz val="10.0"/>
      </rPr>
      <t>flows</t>
    </r>
    <r>
      <rPr>
        <rFont val="Arial"/>
        <color rgb="FF000000"/>
        <sz val="10.0"/>
      </rPr>
      <t xml:space="preserve"> in live use, 9 in 10 still in use three months after launch.  |  CV screening tool running at the HR office, handling 8 out of 10 incoming CVs.  |  Shared AI gateway in production; 6 ready-made templates used by at least 4 projects.  |  3 processes measurably 20% faster.</t>
    </r>
  </si>
  <si>
    <t>Never build a shared asset without at least one project committed to using it.</t>
  </si>
  <si>
    <t>3  ACTION PLAN</t>
  </si>
  <si>
    <t>Keep every asset documented, versioned and owned - and retire the ones nobody uses.</t>
  </si>
  <si>
    <t>#</t>
  </si>
  <si>
    <t>Quarter</t>
  </si>
  <si>
    <t>Action</t>
  </si>
  <si>
    <t>Deliverable</t>
  </si>
  <si>
    <t>T3 - AI Management</t>
  </si>
  <si>
    <t>Success measure</t>
  </si>
  <si>
    <t>Due</t>
  </si>
  <si>
    <t>A.  Cross-project collaboration</t>
  </si>
  <si>
    <t>A.  Automation workflows</t>
  </si>
  <si>
    <t>T2</t>
  </si>
  <si>
    <t>Drive Adoption Across Teams</t>
  </si>
  <si>
    <t>Q1</t>
  </si>
  <si>
    <t>Map every group and project, and agree one named contact per group</t>
  </si>
  <si>
    <t>Inventory candidate processes across all teams and survey duties and pain points, ESG and LSG first</t>
  </si>
  <si>
    <t>-  One named contact in every project team
-  Regular sharing sessions and joint use cases
-  AI written into how each team builds software
-  Company-wide training, three levels, by role
-  Internal trainers, so it does not rest on AXC</t>
  </si>
  <si>
    <t>Group map + contact list</t>
  </si>
  <si>
    <t>Process inventory + needs survey</t>
  </si>
  <si>
    <t>4 teams actively taking part, each with a named contact; 3 projects using AI as a normal part of how they build software.  |  Half of all staff trained to the basic level, 3 in 10 development staff to the applied level.  |  7 in 10 trainees using AI within a month.  |  3 internal trainers running courses themselves.</t>
  </si>
  <si>
    <t>Every team in scope covered</t>
  </si>
  <si>
    <t>Every group in scope has a named contact</t>
  </si>
  <si>
    <t>Nov 2026</t>
  </si>
  <si>
    <t>Prioritise the backlog by impact against effort, and set a timeline and owner for each item</t>
  </si>
  <si>
    <t>Prioritised backlog</t>
  </si>
  <si>
    <t>T3</t>
  </si>
  <si>
    <t>Kick off with ESG and LSG</t>
  </si>
  <si>
    <t>100% of items carry a timeline and a named owner</t>
  </si>
  <si>
    <t>AI Management</t>
  </si>
  <si>
    <t>Two groups running</t>
  </si>
  <si>
    <t>AXC Lead + Coordinator</t>
  </si>
  <si>
    <t>ESG and LSG live in Q1</t>
  </si>
  <si>
    <t>Build the first workflow</t>
  </si>
  <si>
    <t>1 workflow live</t>
  </si>
  <si>
    <t>-  Who holds an AI account, why, at what cost
-  Clear rules on what data may go into AI tools
-  A person reviews and answers for AI output
-  Every project scored across six areas
-  One dashboard management can read at a glance</t>
  </si>
  <si>
    <t>Open the action and blocker tracker, visible to all participating groups</t>
  </si>
  <si>
    <t>Built only after the using team confirmed the need and a utilization plan</t>
  </si>
  <si>
    <t>Tracker live</t>
  </si>
  <si>
    <t>Every AI account linked to a person, a role and a purpose; a review step and a named responsible person across all projects; cost per user down 10%; no data incidents.  |  5 projects scored, 3 meeting the minimum in all six areas.  |  Company-wide maturity score up from 2.96 to 3.30 out of 5.</t>
  </si>
  <si>
    <t>8 in 10 cross-team blockers addressed; 8 in 10 actions closed on time</t>
  </si>
  <si>
    <t>Start building the CV screening tool</t>
  </si>
  <si>
    <t>ongoing</t>
  </si>
  <si>
    <t>Run sharing sessions and workshops on a published schedule</t>
  </si>
  <si>
    <t>CV tool in build</t>
  </si>
  <si>
    <t>Session records</t>
  </si>
  <si>
    <t>12 sessions across the year, about one a month</t>
  </si>
  <si>
    <t>quarterly</t>
  </si>
  <si>
    <t>Q2</t>
  </si>
  <si>
    <t>Bring in the third group</t>
  </si>
  <si>
    <t>Roll out the CV screening tool to the HR office</t>
  </si>
  <si>
    <t>CV tool live at the HR office</t>
  </si>
  <si>
    <t>3 groups engaged</t>
  </si>
  <si>
    <t>8 out of 10 incoming CVs processed through the tool</t>
  </si>
  <si>
    <t>Feb 2027</t>
  </si>
  <si>
    <t>Deliver the second workflow</t>
  </si>
  <si>
    <t>T4</t>
  </si>
  <si>
    <t>Track Technology</t>
  </si>
  <si>
    <t>Start joint use cases with the participating groups</t>
  </si>
  <si>
    <t>Same needs-confirmed gate as the first</t>
  </si>
  <si>
    <t>Joint use cases running</t>
  </si>
  <si>
    <t>4 joint use cases across the year, delivered jointly and not by AXC alone</t>
  </si>
  <si>
    <t>Stand up utilization tracking on every live workflow</t>
  </si>
  <si>
    <t>Utilization tracking live</t>
  </si>
  <si>
    <t>8 in 10 target users active at least weekly, one month after launch</t>
  </si>
  <si>
    <t>Form the AI champion network from the named contacts, meeting monthly</t>
  </si>
  <si>
    <t>-  A published view of what we adopt, trial or avoid
-  Four reviews a year, each ending in a decision
-  Free alternatives to paid tools looked at first
-  Every adoption handed to a named owner</t>
  </si>
  <si>
    <t>Champion network running</t>
  </si>
  <si>
    <t>A quarterly published view of which AI technologies we adopt, trial or avoid.  |  4 reviews completed, each ending in a decision, with 4 in 10 leading to something we actually use.  |  At least one paid tool replaced by a free alternative.</t>
  </si>
  <si>
    <t>Developer + Coordinator</t>
  </si>
  <si>
    <t>Q3</t>
  </si>
  <si>
    <t>Deliver the third workflow</t>
  </si>
  <si>
    <t>Bring in the fourth group</t>
  </si>
  <si>
    <t>May 2027</t>
  </si>
  <si>
    <t>4 groups engaged</t>
  </si>
  <si>
    <t>4 groups actively taking part by year end</t>
  </si>
  <si>
    <t>Roll out the AI-in-development checklist to the first two groups</t>
  </si>
  <si>
    <t>Checklist adopted by 2 groups</t>
  </si>
  <si>
    <t>AI written into their own process, not left to individual habit</t>
  </si>
  <si>
    <t>Run a feedback round on every running workflow and act on what comes back</t>
  </si>
  <si>
    <t>Feedback log + changes made</t>
  </si>
  <si>
    <t>Q4</t>
  </si>
  <si>
    <t>At least one round per workflow per quarter</t>
  </si>
  <si>
    <t>Extend the checklist to a third group</t>
  </si>
  <si>
    <t>Checklist adopted by 3 groups</t>
  </si>
  <si>
    <t>3 projects using AI as a normal part of how they build software, averaging 3 of the 7 development steps</t>
  </si>
  <si>
    <t>Aug 2027</t>
  </si>
  <si>
    <t>Review the year and run the satisfaction survey</t>
  </si>
  <si>
    <t>Review + survey results</t>
  </si>
  <si>
    <t>Satisfaction 4 out of 5</t>
  </si>
  <si>
    <t>Measure time saved on the processes the workflows touch</t>
  </si>
  <si>
    <t>Impact measurement</t>
  </si>
  <si>
    <t>3 processes measurably 20% faster</t>
  </si>
  <si>
    <t>B.  Company-wide training</t>
  </si>
  <si>
    <t>Deliver the fourth workflow</t>
  </si>
  <si>
    <t>5 automation tools in live use across the year</t>
  </si>
  <si>
    <t>TOTAL</t>
  </si>
  <si>
    <t>Keep AI use under control and make progress visible to management. Govern who has an AI account, why, what they may spend and what data they may put into it - with a person always reviewing and answerable for AI-produced work. Alongside that, score how far each project has actually come across six areas measured out of 5, published on one dashboard. The governance work delivers exactly what the measurement work scores as the weakest area today.</t>
  </si>
  <si>
    <t>Review the whole set and retire anything that is not being used</t>
  </si>
  <si>
    <t>Retirement decisions</t>
  </si>
  <si>
    <t>9 in 10 workflows still in use three months after launch</t>
  </si>
  <si>
    <t>Run the company-wide baseline skill survey</t>
  </si>
  <si>
    <t>Baseline results</t>
  </si>
  <si>
    <t>Establishes the starting point for the year</t>
  </si>
  <si>
    <t>Coordinator + HR</t>
  </si>
  <si>
    <t>Produce the value report</t>
  </si>
  <si>
    <t>Value report</t>
  </si>
  <si>
    <t>Design the curriculum by role and level, and get version 1.0 approved</t>
  </si>
  <si>
    <t>Curriculum v1.0</t>
  </si>
  <si>
    <t>B.  Shared tools &amp; building blocks</t>
  </si>
  <si>
    <t>Three levels, branching by role, covering non-technical staff too</t>
  </si>
  <si>
    <t>Pilot the basic level with one or two departments</t>
  </si>
  <si>
    <t>Pilot delivered</t>
  </si>
  <si>
    <t>Roll out the basic level on a published schedule</t>
  </si>
  <si>
    <t>Basic level running company-wide</t>
  </si>
  <si>
    <t>Half of all staff completing it by year end</t>
  </si>
  <si>
    <t>Run train-the-trainer early so delivery does not depend on AXC alone</t>
  </si>
  <si>
    <t>3 internal trainers</t>
  </si>
  <si>
    <t>Produce the shared tooling roadmap with costs and get it approved</t>
  </si>
  <si>
    <t>3 trainers able to run courses themselves - the only way to scale with a team of five</t>
  </si>
  <si>
    <t>Roadmap + cost estimate, approved</t>
  </si>
  <si>
    <t>Approved before any build starts</t>
  </si>
  <si>
    <t>Standardise who gets an AI account, why, and how much they may spend.</t>
  </si>
  <si>
    <t>Start the applied level with the development teams</t>
  </si>
  <si>
    <t>Applied level running</t>
  </si>
  <si>
    <t>3 in 10 development staff completing it</t>
  </si>
  <si>
    <t>Stand up the central catalog and the packaging standard</t>
  </si>
  <si>
    <t>Hand most basic-level delivery to the internal trainers</t>
  </si>
  <si>
    <t>Catalog live + packaging standard</t>
  </si>
  <si>
    <t>Trainers delivering</t>
  </si>
  <si>
    <t>Every asset carries a README, a runnable example, an owner and a version</t>
  </si>
  <si>
    <t>Measure conversion from training into actual use</t>
  </si>
  <si>
    <t>Conversion report</t>
  </si>
  <si>
    <t>7 in 10 trainees with an active AI account within 30 days of the course</t>
  </si>
  <si>
    <t>Make sure a person always reviews AI-produced work before it is used, and that someone is named as responsible.</t>
  </si>
  <si>
    <t>Release the shared prompt library as the first asset</t>
  </si>
  <si>
    <t>1 asset released</t>
  </si>
  <si>
    <t>Deliver training sessions and keep the module library current</t>
  </si>
  <si>
    <t>Session log + modules</t>
  </si>
  <si>
    <t>12 sessions across the year; 6 reusable modules; 85% completion of enrolled courses; 80% assessment pass; satisfaction 4 out of 5</t>
  </si>
  <si>
    <t>Set clear rules on what company data may and may not be put into AI tools.</t>
  </si>
  <si>
    <t>Take the shared AI gateway to production</t>
  </si>
  <si>
    <t>Gateway in production</t>
  </si>
  <si>
    <t>Assess the year, issue curriculum version 2.0 and plan next year</t>
  </si>
  <si>
    <t>Year assessment + v2.0</t>
  </si>
  <si>
    <t>One shared way in to the AI models; cuts cost</t>
  </si>
  <si>
    <t>Skill gap between the strongest and weakest role group down from 0.50 to 0.35 or less</t>
  </si>
  <si>
    <t>Release two more assets</t>
  </si>
  <si>
    <t>2 assets released</t>
  </si>
  <si>
    <t>Agree with HR how AI skill is reflected in performance reviews and in hiring.</t>
  </si>
  <si>
    <t>Onboard ESG and LSG as the first users of the catalog</t>
  </si>
  <si>
    <t>2 teams using shared assets</t>
  </si>
  <si>
    <t>Score every project on a fixed schedule, not only when asked.</t>
  </si>
  <si>
    <t>ACTIONS DONE</t>
  </si>
  <si>
    <t>Document the data-rule controls and apply them to the shared tooling</t>
  </si>
  <si>
    <t>Data-rule controls in place</t>
  </si>
  <si>
    <t>Applies the rule agreed under AI Management</t>
  </si>
  <si>
    <t>Open contribution from teams outside AXC and review what comes in</t>
  </si>
  <si>
    <t>Contribution process live</t>
  </si>
  <si>
    <t>2 assets contributed from outside AXC by year end</t>
  </si>
  <si>
    <t>Pilot internal document search</t>
  </si>
  <si>
    <t>Pilot running</t>
  </si>
  <si>
    <t>Pilot only this year; production next year</t>
  </si>
  <si>
    <t>Assess multi-step AI agents for next year</t>
  </si>
  <si>
    <t>Assessment note</t>
  </si>
  <si>
    <t>Assessment only - piloting needs more capacity than we have this year</t>
  </si>
  <si>
    <t>Release the final asset</t>
  </si>
  <si>
    <t>6 assets released across the year</t>
  </si>
  <si>
    <t>4 projects using at least one asset, average reuse 2 projects per asset</t>
  </si>
  <si>
    <t>Turn each round of scoring into an action plan with a named owner - a score with no action is wasted.</t>
  </si>
  <si>
    <t>Measure reuse and retire dead assets</t>
  </si>
  <si>
    <t>Reuse report + retirement list</t>
  </si>
  <si>
    <t>7 in 10 assets still in use after six months; team-assets score up from 2.0 to 2.6 out of 5</t>
  </si>
  <si>
    <t>Report the company-wide picture on one dashboard that management can read at a glance.</t>
  </si>
  <si>
    <t>Sized for the team we actually have: 3 people today, rising to 5 by December 2026. Every figure in this plan is set against that capacity rather than an ideal team. If hiring slips, the affected targets are rescoped at the Q3 review rather than quietly missed.</t>
  </si>
  <si>
    <t>4  HOW WE WILL DO IT</t>
  </si>
  <si>
    <t>3  HOW THIS PLAN WORKS</t>
  </si>
  <si>
    <t>One champion per group, meeting monthly - the same people serve as the maturity contacts in T3.</t>
  </si>
  <si>
    <t>A.  Governance, accounts &amp; cost</t>
  </si>
  <si>
    <t>-  Weight shows how heavy and how high a priority each target is relative to the others. The four weights add up to 100%. It is a priority signal, not a score.</t>
  </si>
  <si>
    <t>A standard AI-in-development checklist covering the seven steps from requirements through to deployment.</t>
  </si>
  <si>
    <t>-  Each target sheet holds its actions in quarter order. Every action names what it delivers, and where there is a number to hit, the Success measure column states it.</t>
  </si>
  <si>
    <t>An open action and blocker tracker visible to every participating group.</t>
  </si>
  <si>
    <t>Inventory every AI account and token in use</t>
  </si>
  <si>
    <t>Account inventory</t>
  </si>
  <si>
    <t>-  Progress is the share of that target's actions marked Done. It counts what is finished, not how much effort went in.</t>
  </si>
  <si>
    <t>Three training levels branching by role, combining live workshops with self-paced material in the T1 catalog.</t>
  </si>
  <si>
    <t>AXC Lead</t>
  </si>
  <si>
    <t>-  Status is set by the target owner on their own sheet - Not started, On track, At risk, Behind or Done. Progress counts; status judges.</t>
  </si>
  <si>
    <t>Train-the-trainer run in Q2 rather than Q3, because company-wide delivery cannot rest on AXC alone.</t>
  </si>
  <si>
    <t>Workflow Register recording owner, timeline, status, utilization and last-active date for every tool.</t>
  </si>
  <si>
    <t>Course completion tied to AI account provisioning under T3, so training turns into real use, not a certificate.</t>
  </si>
  <si>
    <t>-  Actions marked 'ongoing' run through the whole year rather than landing in one quarter.</t>
  </si>
  <si>
    <t>Build the role, purpose and quota matrix and approve the allocation standard</t>
  </si>
  <si>
    <t>Allocation standard approved</t>
  </si>
  <si>
    <t>One business contact on the consuming team for every workflow.</t>
  </si>
  <si>
    <t>Escalation through management for groups that accept a contact but do not take part.</t>
  </si>
  <si>
    <t>4  HOW TO USE THIS FILE</t>
  </si>
  <si>
    <t>Every account linked to a person, a role and a purpose</t>
  </si>
  <si>
    <t>5  WHAT THIS DEPENDS ON</t>
  </si>
  <si>
    <t>Agree and approve the data rule - what may and may not be sent to AI tools</t>
  </si>
  <si>
    <t>Telemetry switched on from the day of deployment; utilization reviewed monthly.</t>
  </si>
  <si>
    <t>Data rule approved</t>
  </si>
  <si>
    <t>9 in 10 members acknowledge it by Q2; zero data incidents all year</t>
  </si>
  <si>
    <t>Each target has its own sheet (T1 to T4) holding its objective, action plan, approach, dependencies, risks and change history.</t>
  </si>
  <si>
    <t>A documented way to retire any tool that falls below the utilization threshold.</t>
  </si>
  <si>
    <t>T1 - shared tools and templates give each group something concrete to adopt, and host the training material</t>
  </si>
  <si>
    <t>Bring the account registry live</t>
  </si>
  <si>
    <t>Registry live</t>
  </si>
  <si>
    <t>100% of accounts mapped to owner, role, purpose and project</t>
  </si>
  <si>
    <t>Owners fill in only the yellow cells on their own sheet - the Status of each action, and the target Status at the top.</t>
  </si>
  <si>
    <t>Central catalog recording name, purpose, owner, version, instructions and which projects use each asset.</t>
  </si>
  <si>
    <t>T3 - account provisioning is how training converts into real use, and supplies the usage data</t>
  </si>
  <si>
    <t>Draft the review gate and the accountability matrix with the first project</t>
  </si>
  <si>
    <t>Draft gate + matrix</t>
  </si>
  <si>
    <t>A person reviews AI output before it is used, and a named person is answerable for it</t>
  </si>
  <si>
    <t>This summary updates itself from the four target sheets. Do not type into it.</t>
  </si>
  <si>
    <t>Build order chosen by benefit against cost: the shared gateway first (cuts cost, usable at once), then the data-rule controls, then a pilot of internal document search, and only then a look at multi-step agents.</t>
  </si>
  <si>
    <t>HR - joint owner for training scheduling and participation</t>
  </si>
  <si>
    <t>Agree with HR how AI skill is reflected in performance reviews and hiring</t>
  </si>
  <si>
    <t>Agreed criteria document</t>
  </si>
  <si>
    <t>AXC Lead + HR</t>
  </si>
  <si>
    <t>To add an action, use one of the two spare rows at the end of the action table rather than inserting a row, and record what you changed in that sheet's Change History.</t>
  </si>
  <si>
    <t>Two-way contribution through the champion network in T2 - project teams contribute back, AXC standardises.</t>
  </si>
  <si>
    <t>Roll the review gate and accountability matrix out to all projects</t>
  </si>
  <si>
    <t>Gate live everywhere</t>
  </si>
  <si>
    <t>Update statuses monthly; review fully at each quarter end.</t>
  </si>
  <si>
    <t>100% of projects have a review step and a named owner for AI output</t>
  </si>
  <si>
    <t>6  LINK TO THE MATURITY SCORE</t>
  </si>
  <si>
    <t>Run the reclaim cycle and audit compliance with the data rule</t>
  </si>
  <si>
    <t>Reclaim + audit report</t>
  </si>
  <si>
    <t>Idle accounts at or below 10%; 9 in 10 reclaimed or reallocated within a month</t>
  </si>
  <si>
    <t>Record every approval, confirmation and report from a meeting on the Meeting Log sheet.</t>
  </si>
  <si>
    <t>Raises Axis 3 (how widely AI is used, in particular whether it is written into the team's own process) and Axis 4 (how skilled people are, currently 3.38). Also narrows the gap between the strongest and weakest role groups, which stood at 0.50 in the last assessment.</t>
  </si>
  <si>
    <t>Publish the monthly usage and cost report</t>
  </si>
  <si>
    <t>12 monthly reports</t>
  </si>
  <si>
    <t>All 12 on time; total cost within budget; cost per active user down 10%</t>
  </si>
  <si>
    <t>monthly</t>
  </si>
  <si>
    <t>5  DOCUMENT CONTROL</t>
  </si>
  <si>
    <t>T2 - the champion network supplies the business contact for each tool and the route to adoption</t>
  </si>
  <si>
    <t>7  RISK &amp; MITIGATION</t>
  </si>
  <si>
    <t>Review cost, propose next year's budget and run the annual audit</t>
  </si>
  <si>
    <t>Budget proposal + audit</t>
  </si>
  <si>
    <t>Version</t>
  </si>
  <si>
    <t>2.0</t>
  </si>
  <si>
    <t>B.  Maturity measurement &amp; reporting</t>
  </si>
  <si>
    <t>T3 - the data rule defines what the shared tooling must enforce, and account allocation governs access</t>
  </si>
  <si>
    <t>Risk</t>
  </si>
  <si>
    <t>Period</t>
  </si>
  <si>
    <t>September 2026 - August 2027</t>
  </si>
  <si>
    <t>How we handle it</t>
  </si>
  <si>
    <t>T4 - selects and validates the technology each building block is based on</t>
  </si>
  <si>
    <t>Prepared by</t>
  </si>
  <si>
    <t>AXC Team</t>
  </si>
  <si>
    <t>A group accepts a contact but never takes part</t>
  </si>
  <si>
    <t>Release framework version 1.1 - correct the scoring formulas and add the missing role scales</t>
  </si>
  <si>
    <t>Framework v1.1</t>
  </si>
  <si>
    <t>Ready before the first assessment round</t>
  </si>
  <si>
    <t>Engagement is the measure, not assignment; the satisfaction survey and escalation cover the rest</t>
  </si>
  <si>
    <t>Last updated</t>
  </si>
  <si>
    <t>Establish the portfolio baseline and extend assessment to two more projects</t>
  </si>
  <si>
    <t>Staff complete training but never use AI</t>
  </si>
  <si>
    <t>Baseline published</t>
  </si>
  <si>
    <t>3 projects scored by Q2</t>
  </si>
  <si>
    <t>Conversion into an active account within 30 days is the measure, not course completion</t>
  </si>
  <si>
    <t>Spend approval - the shared groundwork is the only work needing money beyond people's time</t>
  </si>
  <si>
    <t>Launch the portfolio dashboard covering every assessed project</t>
  </si>
  <si>
    <t>Dashboard live</t>
  </si>
  <si>
    <t>Next review</t>
  </si>
  <si>
    <t>One dashboard showing the whole company picture</t>
  </si>
  <si>
    <t>End of Q1 (November 2026)</t>
  </si>
  <si>
    <t>The programme depends entirely on AXC to deliver</t>
  </si>
  <si>
    <t>Produce an action plan with a named owner for every assessed project</t>
  </si>
  <si>
    <t>Action plan per project</t>
  </si>
  <si>
    <t>Three internal trainers by Q2, a quarter earlier than originally planned</t>
  </si>
  <si>
    <t>100% of projects - a score with no action is wasted</t>
  </si>
  <si>
    <t>8  CHANGE HISTORY</t>
  </si>
  <si>
    <t>Run assessment round two and compare the trend against baseline</t>
  </si>
  <si>
    <t>Round 2 results</t>
  </si>
  <si>
    <t>Raises Axis 1 (how much of the work AI does) and Axis 2 (whether quality holds up) through the automation tools, and Axis 6 (what the team has built for itself, currently 2.00) through the shared assets. Axis 1 cannot pass level 3 until multi-step agents exist, which is why they are assessed this year for next.</t>
  </si>
  <si>
    <t>Two rounds per project per year, 9 in 10 completed on schedule</t>
  </si>
  <si>
    <t>Log every change to this target here - an action added or dropped, a success measure revised, a date moved, or a change of scope. Keep the original wording in the Reason column.</t>
  </si>
  <si>
    <t>Drive every project's control score to 3.0 or above</t>
  </si>
  <si>
    <t>Control remediation</t>
  </si>
  <si>
    <t>The weakest of the six areas, standing at 2.0 today</t>
  </si>
  <si>
    <t>Coordinator + AXC Lead</t>
  </si>
  <si>
    <t>Run the year-end round across at least five projects</t>
  </si>
  <si>
    <t>Year-end results</t>
  </si>
  <si>
    <t>5 projects scored; 3 meeting the minimum in all six areas; 2 areas at goal level at CARIS</t>
  </si>
  <si>
    <t>Date</t>
  </si>
  <si>
    <t>What changed</t>
  </si>
  <si>
    <t>Publish the growth report and issue framework version 2.0 for next year</t>
  </si>
  <si>
    <t>Growth report + v2.0</t>
  </si>
  <si>
    <t>Company-wide score up from 2.96 to 3.30 out of 5</t>
  </si>
  <si>
    <t>Reason</t>
  </si>
  <si>
    <t>Updated by (role)</t>
  </si>
  <si>
    <t>Built but not used by the teams</t>
  </si>
  <si>
    <t>Nothing is built without a confirmed need and a utilization plan; utilization and three-month survival are success measures, not afterthoughts</t>
  </si>
  <si>
    <t>Spend not approved, blocking the shared groundwork</t>
  </si>
  <si>
    <t>The roadmap with costs is the Q1 deliverable, so the decision is made early rather than mid-year</t>
  </si>
  <si>
    <t>Assets accumulate and rot</t>
  </si>
  <si>
    <t>Six-month survival is measured and there is a documented way to retire dead assets</t>
  </si>
  <si>
    <t>4  MATURITY AREAS - SCORE TODAY AND WHO IMPROVES IT</t>
  </si>
  <si>
    <t>Area measured</t>
  </si>
  <si>
    <t>Today</t>
  </si>
  <si>
    <t>Minimum</t>
  </si>
  <si>
    <t>Goal</t>
  </si>
  <si>
    <t>Improved by</t>
  </si>
  <si>
    <t>Our aim</t>
  </si>
  <si>
    <t>1. How much of the work AI does</t>
  </si>
  <si>
    <t>2. Whether quality holds up</t>
  </si>
  <si>
    <t>T1, T2</t>
  </si>
  <si>
    <t>3. How widely AI is used</t>
  </si>
  <si>
    <t>4. How skilled people are</t>
  </si>
  <si>
    <t>T2, T4</t>
  </si>
  <si>
    <t>5. Whether people stay in control</t>
  </si>
  <si>
    <t>6. What the team has built for itself</t>
  </si>
  <si>
    <t>Scores are out of 5. A project counts as genuinely applying AI once it reaches 3. Company-wide score today 2.96, aim 3.30.</t>
  </si>
  <si>
    <t>5  HOW WE WILL DO IT</t>
  </si>
  <si>
    <t>Account registry recording owner, role, purpose, project, quota and last-active date.</t>
  </si>
  <si>
    <t>Usage and cost reporting automated from the provider console.</t>
  </si>
  <si>
    <t>Request, approve, provision and review as one documented process, with a quarterly reclaim cycle.</t>
  </si>
  <si>
    <t>A review gate saying which output types must be checked before use, who checks, and where it is recorded - written into the development checklist owned by T2.</t>
  </si>
  <si>
    <t>An accountability matrix mapping every AI output type to one named owner.</t>
  </si>
  <si>
    <t>Self-assessment combined with verification, feeding a one-page dashboard: level distribution, trend by cycle, and how many projects meet the minimum.</t>
  </si>
  <si>
    <t>Account and usage data feeds the assessment directly, so projects declare less by hand.</t>
  </si>
  <si>
    <t>6  WHAT THIS DEPENDS ON</t>
  </si>
  <si>
    <t>T1 - the shared tooling applies the data rule technically</t>
  </si>
  <si>
    <t>T2 - the review gate is written into the development checklist, and the champions run the assessments</t>
  </si>
  <si>
    <t>HR - joint owner of the performance-review and hiring criteria</t>
  </si>
  <si>
    <t>7  LINK TO THE MATURITY SCORE</t>
  </si>
  <si>
    <t>This target both delivers and measures. The governance work raises Axis 5 (whether people stay in control), currently 2.00 against a minimum of 3 and the weakest area in the framework. The measurement work scores all six areas and publishes the company-wide picture.</t>
  </si>
  <si>
    <t>8  RISK &amp; MITIGATION</t>
  </si>
  <si>
    <t>T4 - Track Technology</t>
  </si>
  <si>
    <t>The review gate is skipped under deadline pressure</t>
  </si>
  <si>
    <t>Compliance audited in Q3; the control score explicitly measures whether the gate holds under pressure</t>
  </si>
  <si>
    <t>Self-assessment inflation</t>
  </si>
  <si>
    <t>Verification and cross-project calibration before any score is published</t>
  </si>
  <si>
    <t>Cost grows faster than the value returned</t>
  </si>
  <si>
    <t>Cost per active user is tracked against budget, not absolute spend</t>
  </si>
  <si>
    <t>9  CHANGE HISTORY</t>
  </si>
  <si>
    <t>Keep track of new AI tools and models and decide which are worth adopting, so the company neither falls behind nor chases every new release. Each review starts from a real need, finishes within two weeks, and ends with a clear yes or no. Cheaper free alternatives to tools we currently pay for are looked at first, and anything adopted is handed to a named owner who turns it into something usable.</t>
  </si>
  <si>
    <t>Keep a published, up-to-date view of which AI technologies we adopt, trial, or avoid.</t>
  </si>
  <si>
    <t>Start every review from a real need - never review something out of curiosity.</t>
  </si>
  <si>
    <t>Finish each review within two weeks and end it with a clear yes or no.</t>
  </si>
  <si>
    <t>Look first at free alternatives to tools we currently pay for.</t>
  </si>
  <si>
    <t>Hand every adopted technology to a named owner who turns it into something usable.</t>
  </si>
  <si>
    <t>Build the technology view, version 1, covering what is in use and what is under consideration</t>
  </si>
  <si>
    <t>Technology view published</t>
  </si>
  <si>
    <t>Four rings: adopt, trial, assess, avoid - visible to all teams</t>
  </si>
  <si>
    <t>MEETING LOG - record of approvals, confirmations and reports</t>
  </si>
  <si>
    <t>Standardise the review template and the entry gate</t>
  </si>
  <si>
    <t>Template + gate in place</t>
  </si>
  <si>
    <t>No named use case, no review opened</t>
  </si>
  <si>
    <t>Run the first review - a free alternative to a tool we pay for</t>
  </si>
  <si>
    <t>1 review closed</t>
  </si>
  <si>
    <t>Finished within two weeks, ending in a clear yes or no</t>
  </si>
  <si>
    <t>Add one row each time something is approved, confirmed, reported or deferred at a meeting. This is the written record of what was agreed, so decisions do not have to be reconstructed from memory later.</t>
  </si>
  <si>
    <t>Run the second review and update the published view</t>
  </si>
  <si>
    <t>1 review closed + view updated</t>
  </si>
  <si>
    <t>Submit the first adoption proposal</t>
  </si>
  <si>
    <t>1  HOW TO FILL THIS IN</t>
  </si>
  <si>
    <t>Proposal submitted</t>
  </si>
  <si>
    <t>Hand every adopted technology to a named owner who turns it into something usable</t>
  </si>
  <si>
    <t>Handover records</t>
  </si>
  <si>
    <t>4 in 10 adopted reviews become a real asset within a quarter</t>
  </si>
  <si>
    <t>Run the third review, and re-check whether already-adopted technology is still the right choice</t>
  </si>
  <si>
    <t>1 review closed + re-check</t>
  </si>
  <si>
    <t>One row per decision, not one row per meeting. If a meeting approves two things, that is two rows.</t>
  </si>
  <si>
    <t>Deliver a technology briefing to the teams each quarter</t>
  </si>
  <si>
    <t>4 briefings</t>
  </si>
  <si>
    <t>One per quarter, feeding the training curriculum in T2</t>
  </si>
  <si>
    <t>Run the fourth review and submit the second adoption proposal</t>
  </si>
  <si>
    <t>1 review closed + proposal</t>
  </si>
  <si>
    <t>4 reviews across the year, each ending in a decision; at least 1 proposal approved; at least 1 paid tool replaced by a free alternative</t>
  </si>
  <si>
    <t>Outcome says what happened: Approved (a decision was granted), Confirmed (an update was accepted), Reported (information given, nothing decided), Deferred (pushed to a later meeting), Rejected (turned down).</t>
  </si>
  <si>
    <t>Publish the year-end view and propose next year's technology direction</t>
  </si>
  <si>
    <t>Year-end view + direction</t>
  </si>
  <si>
    <t>View updated all four quarters; no review left running past the two-week limit; score on keeping up with new AI up from 2.81 to 3.10 out of 5</t>
  </si>
  <si>
    <t>Write what was actually said - keep the original wording rather than summarising it away.</t>
  </si>
  <si>
    <t>If the decision creates work, put it in the follow-up column with an owner and a due date, and set Status to Open. Change it to Done once closed.</t>
  </si>
  <si>
    <t>Use role names rather than personal names in the Owner column.</t>
  </si>
  <si>
    <t>2  LOG</t>
  </si>
  <si>
    <t>Meeting</t>
  </si>
  <si>
    <t>Outcome</t>
  </si>
  <si>
    <t>What was decided or reported</t>
  </si>
  <si>
    <t>Follow-up action</t>
  </si>
  <si>
    <t>Owner (role)</t>
  </si>
  <si>
    <t>2026-09-24</t>
  </si>
  <si>
    <t>MC meeting</t>
  </si>
  <si>
    <t>A one-page technology view with four rings - adopt, trial, assess, avoid - updated quarterly, open to all teams.</t>
  </si>
  <si>
    <t>A mandatory review template: named use case, criteria, time limit, cost cap, conclusion, and the owner who receives the result.</t>
  </si>
  <si>
    <t>Confirmed</t>
  </si>
  <si>
    <t>EXAMPLE ROW - delete before use.  Automation backlog and per-item timeline accepted; asked that the two largest groups be surveyed first.</t>
  </si>
  <si>
    <t>Entry gate: without a named use case a review cannot be opened. This is the control against open-ended work.</t>
  </si>
  <si>
    <t>Survey ESG and LSG duties before starting build</t>
  </si>
  <si>
    <t>2026-10-15</t>
  </si>
  <si>
    <t>A separate sandbox; no production or customer data until a security review is passed.</t>
  </si>
  <si>
    <t>Done</t>
  </si>
  <si>
    <t>Mandatory handover on adoption: to T1 for packaging or a workflow, or to T2 for the curriculum.</t>
  </si>
  <si>
    <t>Free alternatives looked at first, tied to the cost-per-user goal under T3.</t>
  </si>
  <si>
    <t>T1 - takes adopted technology and turns it into a usable asset</t>
  </si>
  <si>
    <t>T3 - the data rule and cost limits bound what can be trialled</t>
  </si>
  <si>
    <t>T2 - supplies the real needs that justify opening a review</t>
  </si>
  <si>
    <t>Raises the 'keeping up with new AI' measure inside Axis 4, which at 2.81 is the lowest-scoring single measure in the whole framework, with 13 of 43 people rating themselves at 2 or below.</t>
  </si>
  <si>
    <t>Seen as research rather than delivery</t>
  </si>
  <si>
    <t>A named use case is required to open a review, every review is time limited, and the share that turns into something real is measured</t>
  </si>
  <si>
    <t>Trial cost grows unchecked</t>
  </si>
  <si>
    <t>A cost cap agreed before each review opens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</si>
</sst>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theme="1"/>
      <name val="Calibri"/>
      <scheme val="minor"/>
    </font>
    <font>
      <b/>
      <sz val="16.0"/>
      <color rgb="FFFFFFFF"/>
      <name val="Arial"/>
    </font>
    <font>
      <b/>
      <sz val="14.0"/>
      <color rgb="FFFFFFFF"/>
      <name val="Arial"/>
    </font>
    <font/>
    <font>
      <b/>
      <sz val="9.0"/>
      <color rgb="FF000000"/>
      <name val="Arial"/>
    </font>
    <font>
      <b/>
      <sz val="10.0"/>
      <color rgb="FF000000"/>
      <name val="Arial"/>
    </font>
    <font>
      <b/>
      <sz val="11.0"/>
      <color rgb="FF000000"/>
      <name val="Arial"/>
    </font>
    <font>
      <b/>
      <sz val="11.0"/>
      <color rgb="FFFFFFFF"/>
      <name val="Arial"/>
    </font>
    <font>
      <sz val="10.0"/>
      <color rgb="FF000000"/>
      <name val="Arial"/>
    </font>
    <font>
      <i/>
      <sz val="9.0"/>
      <color rgb="FF595959"/>
      <name val="Arial"/>
    </font>
    <font>
      <sz val="9.0"/>
      <color rgb="FF000000"/>
      <name val="Arial"/>
    </font>
    <font>
      <sz val="9.0"/>
      <color rgb="FF595959"/>
      <name val="Arial"/>
    </font>
    <font>
      <b/>
      <sz val="12.0"/>
      <color rgb="FF000000"/>
      <name val="Arial"/>
    </font>
    <font>
      <b/>
      <sz val="10.0"/>
      <color rgb="FFC00000"/>
      <name val="Arial"/>
    </font>
    <font>
      <i/>
      <sz val="9.0"/>
      <color rgb="FF808080"/>
      <name val="Arial"/>
    </font>
  </fonts>
  <fills count="10">
    <fill>
      <patternFill patternType="none"/>
    </fill>
    <fill>
      <patternFill patternType="lightGray"/>
    </fill>
    <fill>
      <patternFill patternType="solid">
        <fgColor rgb="FF1F4E79"/>
        <bgColor rgb="FF1F4E79"/>
      </patternFill>
    </fill>
    <fill>
      <patternFill patternType="solid">
        <fgColor rgb="FFD9E2F3"/>
        <bgColor rgb="FFD9E2F3"/>
      </patternFill>
    </fill>
    <fill>
      <patternFill patternType="solid">
        <fgColor rgb="FF2E74B5"/>
        <bgColor rgb="FF2E74B5"/>
      </patternFill>
    </fill>
    <fill>
      <patternFill patternType="solid">
        <fgColor rgb="FFFFF2CC"/>
        <bgColor rgb="FFFFF2CC"/>
      </patternFill>
    </fill>
    <fill>
      <patternFill patternType="solid">
        <fgColor rgb="FFBDD7EE"/>
        <bgColor rgb="FFBDD7EE"/>
      </patternFill>
    </fill>
    <fill>
      <patternFill patternType="solid">
        <fgColor rgb="FFD6DCE4"/>
        <bgColor rgb="FFD6DCE4"/>
      </patternFill>
    </fill>
    <fill>
      <patternFill patternType="solid">
        <fgColor rgb="FFF2F2F2"/>
        <bgColor rgb="FFF2F2F2"/>
      </patternFill>
    </fill>
    <fill>
      <patternFill patternType="solid">
        <fgColor rgb="FFFCE4D6"/>
        <bgColor rgb="FFFCE4D6"/>
      </patternFill>
    </fill>
  </fills>
  <borders count="8">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top"/>
    </xf>
    <xf borderId="1" fillId="2" fontId="2" numFmtId="0" xfId="0" applyAlignment="1" applyBorder="1" applyFill="1" applyFont="1">
      <alignment horizontal="left" vertical="top"/>
    </xf>
    <xf borderId="2" fillId="0" fontId="3" numFmtId="0" xfId="0" applyBorder="1" applyFont="1"/>
    <xf borderId="3" fillId="0" fontId="3" numFmtId="0" xfId="0" applyBorder="1" applyFont="1"/>
    <xf borderId="4" fillId="3" fontId="4" numFmtId="0" xfId="0" applyAlignment="1" applyBorder="1" applyFill="1" applyFont="1">
      <alignment horizontal="left" vertical="top"/>
    </xf>
    <xf borderId="1" fillId="3" fontId="5" numFmtId="0" xfId="0" applyAlignment="1" applyBorder="1" applyFill="1" applyFont="1">
      <alignment horizontal="left" vertical="top"/>
    </xf>
    <xf borderId="4" fillId="0" fontId="6" numFmtId="9" xfId="0" applyAlignment="1" applyBorder="1" applyFont="1" applyNumberFormat="1">
      <alignment horizontal="center" vertical="top"/>
    </xf>
    <xf borderId="1" fillId="4" fontId="7" numFmtId="0" xfId="0" applyAlignment="1" applyBorder="1" applyFill="1" applyFont="1">
      <alignment horizontal="left" vertical="top"/>
    </xf>
    <xf borderId="5" fillId="0" fontId="8" numFmtId="0" xfId="0" applyAlignment="1" applyBorder="1" applyFont="1">
      <alignment horizontal="left" vertical="top"/>
    </xf>
    <xf borderId="6" fillId="0" fontId="3" numFmtId="0" xfId="0" applyBorder="1" applyFont="1"/>
    <xf borderId="5" fillId="3" fontId="5" numFmtId="0" xfId="0" applyAlignment="1" applyBorder="1" applyFill="1" applyFont="1">
      <alignment horizontal="left" shrinkToFit="0" vertical="center" wrapText="1"/>
    </xf>
    <xf borderId="5" fillId="0" fontId="8" numFmtId="0" xfId="0" applyAlignment="1" applyBorder="1" applyFont="1">
      <alignment horizontal="left" shrinkToFit="0" vertical="top" wrapText="1"/>
    </xf>
    <xf borderId="7" fillId="0" fontId="3" numFmtId="0" xfId="0" applyBorder="1" applyFont="1"/>
    <xf borderId="5" fillId="5" fontId="8" numFmtId="0" xfId="0" applyAlignment="1" applyBorder="1" applyFill="1" applyFont="1">
      <alignment horizontal="center" vertical="top"/>
    </xf>
    <xf borderId="0" fillId="0" fontId="9" numFmtId="0" xfId="0" applyAlignment="1" applyFont="1">
      <alignment horizontal="left" vertical="top"/>
    </xf>
    <xf borderId="4" fillId="3" fontId="4" numFmtId="0" xfId="0" applyAlignment="1" applyBorder="1" applyFill="1" applyFont="1">
      <alignment horizontal="center" shrinkToFit="0" vertical="top" wrapText="1"/>
    </xf>
    <xf borderId="4" fillId="0" fontId="6" numFmtId="0" xfId="0" applyAlignment="1" applyBorder="1" applyFont="1">
      <alignment horizontal="center" vertical="center"/>
    </xf>
    <xf borderId="4" fillId="0" fontId="5" numFmtId="0" xfId="0" applyAlignment="1" applyBorder="1" applyFont="1">
      <alignment horizontal="left" shrinkToFit="0" vertical="top" wrapText="1"/>
    </xf>
    <xf borderId="4" fillId="0" fontId="10" numFmtId="0" xfId="0" applyAlignment="1" applyBorder="1" applyFont="1">
      <alignment horizontal="center" vertical="top"/>
    </xf>
    <xf borderId="4" fillId="0" fontId="6" numFmtId="9" xfId="0" applyAlignment="1" applyBorder="1" applyFont="1" applyNumberFormat="1">
      <alignment horizontal="center" vertical="center"/>
    </xf>
    <xf borderId="4" fillId="0" fontId="8" numFmtId="0" xfId="0" applyAlignment="1" applyBorder="1" applyFont="1">
      <alignment horizontal="left" shrinkToFit="0" vertical="top" wrapText="1"/>
    </xf>
    <xf borderId="4" fillId="0" fontId="8" numFmtId="0" xfId="0" applyAlignment="1" applyBorder="1" applyFont="1">
      <alignment horizontal="left" readingOrder="0" shrinkToFit="0" vertical="top" wrapText="1"/>
    </xf>
    <xf borderId="4" fillId="0" fontId="10" numFmtId="0" xfId="0" applyAlignment="1" applyBorder="1" applyFont="1">
      <alignment horizontal="left" shrinkToFit="0" vertical="center" wrapText="1"/>
    </xf>
    <xf borderId="5" fillId="6" fontId="5" numFmtId="0" xfId="0" applyAlignment="1" applyBorder="1" applyFill="1" applyFont="1">
      <alignment horizontal="left" vertical="top"/>
    </xf>
    <xf borderId="4" fillId="0" fontId="10" numFmtId="0" xfId="0" applyAlignment="1" applyBorder="1" applyFont="1">
      <alignment horizontal="center" vertical="center"/>
    </xf>
    <xf borderId="5" fillId="6" fontId="5" numFmtId="9" xfId="0" applyAlignment="1" applyBorder="1" applyFill="1" applyFont="1" applyNumberFormat="1">
      <alignment horizontal="center" vertical="top"/>
    </xf>
    <xf borderId="4" fillId="0" fontId="4" numFmtId="0" xfId="0" applyAlignment="1" applyBorder="1" applyFont="1">
      <alignment horizontal="center" vertical="top"/>
    </xf>
    <xf borderId="4" fillId="0" fontId="10" numFmtId="0" xfId="0" applyAlignment="1" applyBorder="1" applyFont="1">
      <alignment horizontal="left" shrinkToFit="0" vertical="top" wrapText="1"/>
    </xf>
    <xf borderId="4" fillId="0" fontId="11" numFmtId="0" xfId="0" applyAlignment="1" applyBorder="1" applyFont="1">
      <alignment horizontal="left" shrinkToFit="0" vertical="top" wrapText="1"/>
    </xf>
    <xf borderId="4" fillId="5" fontId="10" numFmtId="0" xfId="0" applyAlignment="1" applyBorder="1" applyFill="1" applyFont="1">
      <alignment horizontal="center" vertical="top"/>
    </xf>
    <xf borderId="4" fillId="7" fontId="8" numFmtId="0" xfId="0" applyAlignment="1" applyBorder="1" applyFill="1" applyFont="1">
      <alignment horizontal="left" vertical="top"/>
    </xf>
    <xf borderId="4" fillId="7" fontId="6" numFmtId="0" xfId="0" applyAlignment="1" applyBorder="1" applyFill="1" applyFont="1">
      <alignment horizontal="right" vertical="top"/>
    </xf>
    <xf borderId="4" fillId="7" fontId="6" numFmtId="9" xfId="0" applyAlignment="1" applyBorder="1" applyFill="1" applyFont="1" applyNumberFormat="1">
      <alignment horizontal="center" vertical="top"/>
    </xf>
    <xf borderId="5" fillId="7" fontId="5" numFmtId="0" xfId="0" applyAlignment="1" applyBorder="1" applyFill="1" applyFont="1">
      <alignment horizontal="left" vertical="top"/>
    </xf>
    <xf borderId="4" fillId="8" fontId="8" numFmtId="0" xfId="0" applyAlignment="1" applyBorder="1" applyFill="1" applyFont="1">
      <alignment horizontal="left" vertical="top"/>
    </xf>
    <xf borderId="4" fillId="5" fontId="8" numFmtId="0" xfId="0" applyAlignment="1" applyBorder="1" applyFill="1" applyFont="1">
      <alignment horizontal="left" vertical="top"/>
    </xf>
    <xf borderId="5" fillId="7" fontId="5" numFmtId="0" xfId="0" applyAlignment="1" applyBorder="1" applyFill="1" applyFont="1">
      <alignment horizontal="right" vertical="top"/>
    </xf>
    <xf borderId="4" fillId="7" fontId="9" numFmtId="0" xfId="0" applyAlignment="1" applyBorder="1" applyFill="1" applyFont="1">
      <alignment horizontal="center" vertical="top"/>
    </xf>
    <xf borderId="4" fillId="7" fontId="6" numFmtId="0" xfId="0" applyAlignment="1" applyBorder="1" applyFill="1" applyFont="1">
      <alignment horizontal="center" vertical="top"/>
    </xf>
    <xf borderId="4" fillId="7" fontId="9" numFmtId="0" xfId="0" applyAlignment="1" applyBorder="1" applyFill="1" applyFont="1">
      <alignment horizontal="left" vertical="top"/>
    </xf>
    <xf borderId="4" fillId="7" fontId="4" numFmtId="0" xfId="0" applyAlignment="1" applyBorder="1" applyFill="1" applyFont="1">
      <alignment horizontal="right" vertical="top"/>
    </xf>
    <xf borderId="4" fillId="7" fontId="12" numFmtId="9" xfId="0" applyAlignment="1" applyBorder="1" applyFill="1" applyFont="1" applyNumberFormat="1">
      <alignment horizontal="center" vertical="top"/>
    </xf>
    <xf borderId="5" fillId="3" fontId="9" numFmtId="0" xfId="0" applyAlignment="1" applyBorder="1" applyFill="1" applyFont="1">
      <alignment horizontal="left" shrinkToFit="0" vertical="top" wrapText="1"/>
    </xf>
    <xf borderId="5" fillId="3" fontId="4" numFmtId="0" xfId="0" applyAlignment="1" applyBorder="1" applyFill="1" applyFont="1">
      <alignment horizontal="center" shrinkToFit="0" vertical="top" wrapText="1"/>
    </xf>
    <xf borderId="5" fillId="5" fontId="8" numFmtId="0" xfId="0" applyAlignment="1" applyBorder="1" applyFill="1" applyFont="1">
      <alignment horizontal="left" shrinkToFit="0" vertical="top" wrapText="1"/>
    </xf>
    <xf borderId="5" fillId="0" fontId="9" numFmtId="0" xfId="0" applyAlignment="1" applyBorder="1" applyFont="1">
      <alignment horizontal="left" shrinkToFit="0" vertical="top" wrapText="1"/>
    </xf>
    <xf borderId="4" fillId="8" fontId="10" numFmtId="0" xfId="0" applyAlignment="1" applyBorder="1" applyFill="1" applyFont="1">
      <alignment horizontal="center" vertical="top"/>
    </xf>
    <xf borderId="4" fillId="5" fontId="8" numFmtId="0" xfId="0" applyAlignment="1" applyBorder="1" applyFill="1" applyFont="1">
      <alignment horizontal="left" shrinkToFit="0" vertical="top" wrapText="1"/>
    </xf>
    <xf borderId="4" fillId="0" fontId="5" numFmtId="2" xfId="0" applyAlignment="1" applyBorder="1" applyFont="1" applyNumberFormat="1">
      <alignment horizontal="center" vertical="top"/>
    </xf>
    <xf borderId="4" fillId="0" fontId="8" numFmtId="1" xfId="0" applyAlignment="1" applyBorder="1" applyFont="1" applyNumberFormat="1">
      <alignment horizontal="center" vertical="top"/>
    </xf>
    <xf borderId="4" fillId="0" fontId="5" numFmtId="0" xfId="0" applyAlignment="1" applyBorder="1" applyFont="1">
      <alignment horizontal="center" vertical="top"/>
    </xf>
    <xf borderId="4" fillId="0" fontId="5" numFmtId="164" xfId="0" applyAlignment="1" applyBorder="1" applyFont="1" applyNumberFormat="1">
      <alignment horizontal="center" vertical="top"/>
    </xf>
    <xf borderId="5" fillId="0" fontId="5" numFmtId="0" xfId="0" applyAlignment="1" applyBorder="1" applyFont="1">
      <alignment horizontal="left" vertical="top"/>
    </xf>
    <xf borderId="4" fillId="9" fontId="13" numFmtId="2" xfId="0" applyAlignment="1" applyBorder="1" applyFill="1" applyFont="1" applyNumberFormat="1">
      <alignment horizontal="center" vertical="top"/>
    </xf>
    <xf borderId="0" fillId="0" fontId="9" numFmtId="0" xfId="0" applyAlignment="1" applyFont="1">
      <alignment horizontal="left" shrinkToFit="0" vertical="top" wrapText="1"/>
    </xf>
    <xf borderId="4" fillId="0" fontId="14" numFmtId="0" xfId="0" applyAlignment="1" applyBorder="1" applyFont="1">
      <alignment horizontal="center" vertical="top"/>
    </xf>
    <xf borderId="4" fillId="0" fontId="14" numFmtId="0" xfId="0" applyAlignment="1" applyBorder="1" applyFont="1">
      <alignment horizontal="left" vertical="top"/>
    </xf>
    <xf borderId="4" fillId="0" fontId="14" numFmtId="0" xfId="0" applyAlignment="1" applyBorder="1" applyFont="1">
      <alignment horizontal="left" shrinkToFit="0" vertical="top" wrapText="1"/>
    </xf>
    <xf borderId="4" fillId="5" fontId="8" numFmtId="0" xfId="0" applyAlignment="1" applyBorder="1" applyFill="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7.0"/>
    <col customWidth="1" min="2" max="2" width="28.0"/>
    <col customWidth="1" min="3" max="3" width="8.0"/>
    <col customWidth="1" min="4" max="5" width="54.0"/>
    <col customWidth="1" min="6" max="6" width="20.0"/>
    <col customWidth="1" min="7" max="7" width="10.0"/>
    <col customWidth="1" min="8" max="8" width="13.0"/>
    <col customWidth="1" min="9" max="26" width="8.71"/>
  </cols>
  <sheetData>
    <row r="1" ht="30.0" customHeight="1">
      <c r="A1" s="1" t="s">
        <v>0</v>
      </c>
      <c r="B1" s="3"/>
      <c r="C1" s="3"/>
      <c r="D1" s="3"/>
      <c r="E1" s="3"/>
      <c r="F1" s="3"/>
      <c r="G1" s="3"/>
      <c r="H1" s="4"/>
    </row>
    <row r="2" ht="18.0" customHeight="1">
      <c r="A2" s="6" t="s">
        <v>3</v>
      </c>
      <c r="B2" s="3"/>
      <c r="C2" s="3"/>
      <c r="D2" s="3"/>
      <c r="E2" s="3"/>
      <c r="F2" s="3"/>
      <c r="G2" s="3"/>
      <c r="H2" s="4"/>
    </row>
    <row r="4" ht="19.5" customHeight="1">
      <c r="A4" s="8" t="s">
        <v>5</v>
      </c>
      <c r="B4" s="3"/>
      <c r="C4" s="3"/>
      <c r="D4" s="3"/>
      <c r="E4" s="3"/>
      <c r="F4" s="3"/>
      <c r="G4" s="3"/>
      <c r="H4" s="4"/>
    </row>
    <row r="5" ht="13.5" customHeight="1">
      <c r="A5" s="11" t="s">
        <v>10</v>
      </c>
      <c r="B5" s="10"/>
      <c r="C5" s="12" t="s">
        <v>11</v>
      </c>
      <c r="D5" s="13"/>
      <c r="E5" s="13"/>
      <c r="F5" s="13"/>
      <c r="G5" s="13"/>
      <c r="H5" s="10"/>
    </row>
    <row r="6" ht="111.75" customHeight="1">
      <c r="A6" s="11" t="s">
        <v>12</v>
      </c>
      <c r="B6" s="10"/>
      <c r="C6" s="12" t="s">
        <v>13</v>
      </c>
      <c r="D6" s="13"/>
      <c r="E6" s="13"/>
      <c r="F6" s="13"/>
      <c r="G6" s="13"/>
      <c r="H6" s="10"/>
    </row>
    <row r="8" ht="19.5" customHeight="1">
      <c r="A8" s="8" t="s">
        <v>14</v>
      </c>
      <c r="B8" s="3"/>
      <c r="C8" s="3"/>
      <c r="D8" s="3"/>
      <c r="E8" s="3"/>
      <c r="F8" s="3"/>
      <c r="G8" s="3"/>
      <c r="H8" s="4"/>
    </row>
    <row r="9" ht="30.0" customHeight="1">
      <c r="A9" s="16" t="s">
        <v>17</v>
      </c>
      <c r="B9" s="16" t="s">
        <v>18</v>
      </c>
      <c r="C9" s="16" t="s">
        <v>4</v>
      </c>
      <c r="D9" s="16" t="s">
        <v>19</v>
      </c>
      <c r="E9" s="16" t="s">
        <v>20</v>
      </c>
      <c r="F9" s="16" t="s">
        <v>6</v>
      </c>
      <c r="G9" s="16" t="s">
        <v>22</v>
      </c>
      <c r="H9" s="16" t="s">
        <v>9</v>
      </c>
    </row>
    <row r="10" ht="90.0" customHeight="1">
      <c r="A10" s="17" t="s">
        <v>24</v>
      </c>
      <c r="B10" s="18" t="s">
        <v>26</v>
      </c>
      <c r="C10" s="20">
        <f>'T1 Build'!$B$2</f>
        <v>0.34</v>
      </c>
      <c r="D10" s="21" t="s">
        <v>36</v>
      </c>
      <c r="E10" s="22" t="s">
        <v>40</v>
      </c>
      <c r="F10" s="23" t="s">
        <v>8</v>
      </c>
      <c r="G10" s="20">
        <f>'T1 Build'!$H$49</f>
        <v>0</v>
      </c>
      <c r="H10" s="25" t="str">
        <f>IF('T1 Build'!$G$2="","Not started",'T1 Build'!$G$2)</f>
        <v>Not started</v>
      </c>
    </row>
    <row r="11" ht="105.0" customHeight="1">
      <c r="A11" s="17" t="s">
        <v>53</v>
      </c>
      <c r="B11" s="18" t="s">
        <v>54</v>
      </c>
      <c r="C11" s="20">
        <f>'T2 Adoption'!$B$2</f>
        <v>0.3</v>
      </c>
      <c r="D11" s="21" t="s">
        <v>58</v>
      </c>
      <c r="E11" s="21" t="s">
        <v>61</v>
      </c>
      <c r="F11" s="23" t="s">
        <v>7</v>
      </c>
      <c r="G11" s="20">
        <f>'T2 Adoption'!$H$44</f>
        <v>0</v>
      </c>
      <c r="H11" s="25" t="str">
        <f>IF('T2 Adoption'!$G$2="","Not started",'T2 Adoption'!$G$2)</f>
        <v>Not started</v>
      </c>
    </row>
    <row r="12" ht="90.0" customHeight="1">
      <c r="A12" s="17" t="s">
        <v>67</v>
      </c>
      <c r="B12" s="18" t="s">
        <v>70</v>
      </c>
      <c r="C12" s="20">
        <f>'T3 Management'!$B$2</f>
        <v>0.28</v>
      </c>
      <c r="D12" s="21" t="s">
        <v>76</v>
      </c>
      <c r="E12" s="21" t="s">
        <v>80</v>
      </c>
      <c r="F12" s="23" t="s">
        <v>72</v>
      </c>
      <c r="G12" s="20">
        <f>'T3 Management'!$H$41</f>
        <v>0</v>
      </c>
      <c r="H12" s="25" t="str">
        <f>IF('T3 Management'!$G$2="","Not started",'T3 Management'!$G$2)</f>
        <v>Not started</v>
      </c>
    </row>
    <row r="13" ht="75.0" customHeight="1">
      <c r="A13" s="17" t="s">
        <v>97</v>
      </c>
      <c r="B13" s="18" t="s">
        <v>98</v>
      </c>
      <c r="C13" s="20">
        <f>'T4 Technology'!$B$2</f>
        <v>0.08</v>
      </c>
      <c r="D13" s="21" t="s">
        <v>107</v>
      </c>
      <c r="E13" s="21" t="s">
        <v>109</v>
      </c>
      <c r="F13" s="23" t="s">
        <v>110</v>
      </c>
      <c r="G13" s="20">
        <f>'T4 Technology'!$H$29</f>
        <v>0</v>
      </c>
      <c r="H13" s="25" t="str">
        <f>IF('T4 Technology'!$G$2="","Not started",'T4 Technology'!$G$2)</f>
        <v>Not started</v>
      </c>
    </row>
    <row r="14">
      <c r="A14" s="31"/>
      <c r="B14" s="32" t="s">
        <v>137</v>
      </c>
      <c r="C14" s="33">
        <f>SUM(C10:C13)</f>
        <v>1</v>
      </c>
      <c r="D14" s="34" t="str">
        <f>IF(ROUND(C14,4)=1,"4 targets, weights add up to 100% - 75 actions in total","ERROR - weights must add up to 100%")</f>
        <v>4 targets, weights add up to 100% - 75 actions in total</v>
      </c>
      <c r="E14" s="10"/>
      <c r="F14" s="38" t="str">
        <f>('T1 Build'!$E$49+'T2 Adoption'!$E$44+'T3 Management'!$E$41+'T4 Technology'!$E$29)&amp;" of 75 done"</f>
        <v>0 of 75 done</v>
      </c>
      <c r="G14" s="42">
        <f>IFERROR(('T1 Build'!$E$49+'T2 Adoption'!$E$44+'T3 Management'!$E$41+'T4 Technology'!$E$29)/75,0)</f>
        <v>0</v>
      </c>
      <c r="H14" s="31"/>
    </row>
    <row r="15" ht="25.5" customHeight="1">
      <c r="A15" s="43" t="s">
        <v>215</v>
      </c>
      <c r="B15" s="13"/>
      <c r="C15" s="13"/>
      <c r="D15" s="13"/>
      <c r="E15" s="13"/>
      <c r="F15" s="13"/>
      <c r="G15" s="13"/>
      <c r="H15" s="10"/>
    </row>
    <row r="17" ht="19.5" customHeight="1">
      <c r="A17" s="8" t="s">
        <v>217</v>
      </c>
      <c r="B17" s="3"/>
      <c r="C17" s="3"/>
      <c r="D17" s="3"/>
      <c r="E17" s="3"/>
      <c r="F17" s="3"/>
      <c r="G17" s="3"/>
      <c r="H17" s="4"/>
    </row>
    <row r="18" ht="30.0" customHeight="1">
      <c r="A18" s="12" t="s">
        <v>220</v>
      </c>
      <c r="B18" s="13"/>
      <c r="C18" s="13"/>
      <c r="D18" s="13"/>
      <c r="E18" s="13"/>
      <c r="F18" s="13"/>
      <c r="G18" s="13"/>
      <c r="H18" s="10"/>
    </row>
    <row r="19" ht="30.0" customHeight="1">
      <c r="A19" s="12" t="s">
        <v>222</v>
      </c>
      <c r="B19" s="13"/>
      <c r="C19" s="13"/>
      <c r="D19" s="13"/>
      <c r="E19" s="13"/>
      <c r="F19" s="13"/>
      <c r="G19" s="13"/>
      <c r="H19" s="10"/>
    </row>
    <row r="20" ht="15.0" customHeight="1">
      <c r="A20" s="12" t="s">
        <v>226</v>
      </c>
      <c r="B20" s="13"/>
      <c r="C20" s="13"/>
      <c r="D20" s="13"/>
      <c r="E20" s="13"/>
      <c r="F20" s="13"/>
      <c r="G20" s="13"/>
      <c r="H20" s="10"/>
    </row>
    <row r="21" ht="15.0" customHeight="1">
      <c r="A21" s="12" t="s">
        <v>229</v>
      </c>
      <c r="B21" s="13"/>
      <c r="C21" s="13"/>
      <c r="D21" s="13"/>
      <c r="E21" s="13"/>
      <c r="F21" s="13"/>
      <c r="G21" s="13"/>
      <c r="H21" s="10"/>
    </row>
    <row r="22" ht="15.0" customHeight="1">
      <c r="A22" s="12" t="s">
        <v>233</v>
      </c>
      <c r="B22" s="13"/>
      <c r="C22" s="13"/>
      <c r="D22" s="13"/>
      <c r="E22" s="13"/>
      <c r="F22" s="13"/>
      <c r="G22" s="13"/>
      <c r="H22" s="10"/>
    </row>
    <row r="23" ht="15.75" customHeight="1"/>
    <row r="24" ht="19.5" customHeight="1">
      <c r="A24" s="8" t="s">
        <v>238</v>
      </c>
      <c r="B24" s="3"/>
      <c r="C24" s="3"/>
      <c r="D24" s="3"/>
      <c r="E24" s="3"/>
      <c r="F24" s="3"/>
      <c r="G24" s="3"/>
      <c r="H24" s="4"/>
    </row>
    <row r="25" ht="15.0" customHeight="1">
      <c r="A25" s="27">
        <v>1.0</v>
      </c>
      <c r="B25" s="12" t="s">
        <v>245</v>
      </c>
      <c r="C25" s="13"/>
      <c r="D25" s="13"/>
      <c r="E25" s="13"/>
      <c r="F25" s="13"/>
      <c r="G25" s="13"/>
      <c r="H25" s="10"/>
    </row>
    <row r="26" ht="15.0" customHeight="1">
      <c r="A26" s="27">
        <v>2.0</v>
      </c>
      <c r="B26" s="12" t="s">
        <v>251</v>
      </c>
      <c r="C26" s="13"/>
      <c r="D26" s="13"/>
      <c r="E26" s="13"/>
      <c r="F26" s="13"/>
      <c r="G26" s="13"/>
      <c r="H26" s="10"/>
    </row>
    <row r="27" ht="15.0" customHeight="1">
      <c r="A27" s="27">
        <v>3.0</v>
      </c>
      <c r="B27" s="12" t="s">
        <v>257</v>
      </c>
      <c r="C27" s="13"/>
      <c r="D27" s="13"/>
      <c r="E27" s="13"/>
      <c r="F27" s="13"/>
      <c r="G27" s="13"/>
      <c r="H27" s="10"/>
    </row>
    <row r="28" ht="30.0" customHeight="1">
      <c r="A28" s="27">
        <v>4.0</v>
      </c>
      <c r="B28" s="12" t="s">
        <v>263</v>
      </c>
      <c r="C28" s="13"/>
      <c r="D28" s="13"/>
      <c r="E28" s="13"/>
      <c r="F28" s="13"/>
      <c r="G28" s="13"/>
      <c r="H28" s="10"/>
    </row>
    <row r="29" ht="15.0" customHeight="1">
      <c r="A29" s="27">
        <v>5.0</v>
      </c>
      <c r="B29" s="12" t="s">
        <v>267</v>
      </c>
      <c r="C29" s="13"/>
      <c r="D29" s="13"/>
      <c r="E29" s="13"/>
      <c r="F29" s="13"/>
      <c r="G29" s="13"/>
      <c r="H29" s="10"/>
    </row>
    <row r="30" ht="15.0" customHeight="1">
      <c r="A30" s="27">
        <v>6.0</v>
      </c>
      <c r="B30" s="12" t="s">
        <v>273</v>
      </c>
      <c r="C30" s="13"/>
      <c r="D30" s="13"/>
      <c r="E30" s="13"/>
      <c r="F30" s="13"/>
      <c r="G30" s="13"/>
      <c r="H30" s="10"/>
    </row>
    <row r="31" ht="15.75" customHeight="1"/>
    <row r="32" ht="19.5" customHeight="1">
      <c r="A32" s="8" t="s">
        <v>279</v>
      </c>
      <c r="B32" s="3"/>
      <c r="C32" s="3"/>
      <c r="D32" s="3"/>
      <c r="E32" s="3"/>
      <c r="F32" s="3"/>
      <c r="G32" s="3"/>
      <c r="H32" s="4"/>
    </row>
    <row r="33" ht="15.75" customHeight="1">
      <c r="A33" s="5" t="s">
        <v>284</v>
      </c>
      <c r="B33" s="12" t="s">
        <v>285</v>
      </c>
      <c r="C33" s="13"/>
      <c r="D33" s="13"/>
      <c r="E33" s="13"/>
      <c r="F33" s="13"/>
      <c r="G33" s="13"/>
      <c r="H33" s="10"/>
    </row>
    <row r="34" ht="15.75" customHeight="1">
      <c r="A34" s="5" t="s">
        <v>289</v>
      </c>
      <c r="B34" s="12" t="s">
        <v>290</v>
      </c>
      <c r="C34" s="13"/>
      <c r="D34" s="13"/>
      <c r="E34" s="13"/>
      <c r="F34" s="13"/>
      <c r="G34" s="13"/>
      <c r="H34" s="10"/>
    </row>
    <row r="35" ht="15.75" customHeight="1">
      <c r="A35" s="5" t="s">
        <v>293</v>
      </c>
      <c r="B35" s="12" t="s">
        <v>294</v>
      </c>
      <c r="C35" s="13"/>
      <c r="D35" s="13"/>
      <c r="E35" s="13"/>
      <c r="F35" s="13"/>
      <c r="G35" s="13"/>
      <c r="H35" s="10"/>
    </row>
    <row r="36" ht="15.75" customHeight="1">
      <c r="A36" s="5" t="s">
        <v>300</v>
      </c>
      <c r="B36" s="45"/>
      <c r="C36" s="13"/>
      <c r="D36" s="13"/>
      <c r="E36" s="13"/>
      <c r="F36" s="13"/>
      <c r="G36" s="13"/>
      <c r="H36" s="10"/>
    </row>
    <row r="37" ht="15.75" customHeight="1">
      <c r="A37" s="5" t="s">
        <v>309</v>
      </c>
      <c r="B37" s="12" t="s">
        <v>311</v>
      </c>
      <c r="C37" s="13"/>
      <c r="D37" s="13"/>
      <c r="E37" s="13"/>
      <c r="F37" s="13"/>
      <c r="G37" s="13"/>
      <c r="H37" s="10"/>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A1:H1"/>
    <mergeCell ref="A2:H2"/>
    <mergeCell ref="A4:H4"/>
    <mergeCell ref="A5:B5"/>
    <mergeCell ref="C5:H5"/>
    <mergeCell ref="C6:H6"/>
    <mergeCell ref="A8:H8"/>
    <mergeCell ref="A6:B6"/>
    <mergeCell ref="D14:E14"/>
    <mergeCell ref="A15:H15"/>
    <mergeCell ref="A17:H17"/>
    <mergeCell ref="A18:H18"/>
    <mergeCell ref="A19:H19"/>
    <mergeCell ref="A20:H20"/>
    <mergeCell ref="B29:H29"/>
    <mergeCell ref="B30:H30"/>
    <mergeCell ref="A32:H32"/>
    <mergeCell ref="B33:H33"/>
    <mergeCell ref="B34:H34"/>
    <mergeCell ref="B35:H35"/>
    <mergeCell ref="B36:H36"/>
    <mergeCell ref="B37:H37"/>
    <mergeCell ref="A21:H21"/>
    <mergeCell ref="A22:H22"/>
    <mergeCell ref="A24:H24"/>
    <mergeCell ref="B25:H25"/>
    <mergeCell ref="B26:H26"/>
    <mergeCell ref="B27:H27"/>
    <mergeCell ref="B28:H2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9.0"/>
    <col customWidth="1" min="3" max="3" width="56.0"/>
    <col customWidth="1" min="4" max="4" width="28.0"/>
    <col customWidth="1" min="5" max="5" width="48.0"/>
    <col customWidth="1" min="6" max="6" width="20.0"/>
    <col customWidth="1" min="7" max="7" width="11.0"/>
    <col customWidth="1" min="8" max="8" width="13.0"/>
    <col customWidth="1" min="9" max="26" width="8.71"/>
  </cols>
  <sheetData>
    <row r="1" ht="25.5" customHeight="1">
      <c r="A1" s="2" t="s">
        <v>2</v>
      </c>
      <c r="B1" s="3"/>
      <c r="C1" s="3"/>
      <c r="D1" s="3"/>
      <c r="E1" s="3"/>
      <c r="F1" s="3"/>
      <c r="G1" s="3"/>
      <c r="H1" s="4"/>
    </row>
    <row r="2">
      <c r="A2" s="5" t="s">
        <v>4</v>
      </c>
      <c r="B2" s="7">
        <v>0.34</v>
      </c>
      <c r="C2" s="5" t="s">
        <v>6</v>
      </c>
      <c r="D2" s="9" t="s">
        <v>8</v>
      </c>
      <c r="E2" s="10"/>
      <c r="F2" s="5" t="s">
        <v>9</v>
      </c>
      <c r="G2" s="14"/>
      <c r="H2" s="10"/>
    </row>
    <row r="3">
      <c r="A3" s="15" t="s">
        <v>15</v>
      </c>
    </row>
    <row r="5" ht="19.5" customHeight="1">
      <c r="A5" s="8" t="s">
        <v>16</v>
      </c>
      <c r="B5" s="3"/>
      <c r="C5" s="3"/>
      <c r="D5" s="3"/>
      <c r="E5" s="3"/>
      <c r="F5" s="3"/>
      <c r="G5" s="3"/>
      <c r="H5" s="4"/>
    </row>
    <row r="6" ht="60.0" customHeight="1">
      <c r="A6" s="12" t="s">
        <v>23</v>
      </c>
      <c r="B6" s="13"/>
      <c r="C6" s="13"/>
      <c r="D6" s="13"/>
      <c r="E6" s="13"/>
      <c r="F6" s="13"/>
      <c r="G6" s="13"/>
      <c r="H6" s="10"/>
    </row>
    <row r="8" ht="19.5" customHeight="1">
      <c r="A8" s="8" t="s">
        <v>25</v>
      </c>
      <c r="B8" s="3"/>
      <c r="C8" s="3"/>
      <c r="D8" s="3"/>
      <c r="E8" s="3"/>
      <c r="F8" s="3"/>
      <c r="G8" s="3"/>
      <c r="H8" s="4"/>
    </row>
    <row r="9" ht="15.0" customHeight="1">
      <c r="A9" s="19">
        <v>1.0</v>
      </c>
      <c r="B9" s="12" t="s">
        <v>28</v>
      </c>
      <c r="C9" s="13"/>
      <c r="D9" s="13"/>
      <c r="E9" s="13"/>
      <c r="F9" s="13"/>
      <c r="G9" s="13"/>
      <c r="H9" s="10"/>
    </row>
    <row r="10" ht="15.0" customHeight="1">
      <c r="A10" s="19">
        <v>2.0</v>
      </c>
      <c r="B10" s="12" t="s">
        <v>30</v>
      </c>
      <c r="C10" s="13"/>
      <c r="D10" s="13"/>
      <c r="E10" s="13"/>
      <c r="F10" s="13"/>
      <c r="G10" s="13"/>
      <c r="H10" s="10"/>
    </row>
    <row r="11" ht="15.0" customHeight="1">
      <c r="A11" s="19">
        <v>3.0</v>
      </c>
      <c r="B11" s="12" t="s">
        <v>32</v>
      </c>
      <c r="C11" s="13"/>
      <c r="D11" s="13"/>
      <c r="E11" s="13"/>
      <c r="F11" s="13"/>
      <c r="G11" s="13"/>
      <c r="H11" s="10"/>
    </row>
    <row r="12" ht="15.0" customHeight="1">
      <c r="A12" s="19">
        <v>4.0</v>
      </c>
      <c r="B12" s="12" t="s">
        <v>34</v>
      </c>
      <c r="C12" s="13"/>
      <c r="D12" s="13"/>
      <c r="E12" s="13"/>
      <c r="F12" s="13"/>
      <c r="G12" s="13"/>
      <c r="H12" s="10"/>
    </row>
    <row r="13" ht="15.0" customHeight="1">
      <c r="A13" s="19">
        <v>5.0</v>
      </c>
      <c r="B13" s="12" t="s">
        <v>38</v>
      </c>
      <c r="C13" s="13"/>
      <c r="D13" s="13"/>
      <c r="E13" s="13"/>
      <c r="F13" s="13"/>
      <c r="G13" s="13"/>
      <c r="H13" s="10"/>
    </row>
    <row r="14" ht="15.0" customHeight="1">
      <c r="A14" s="19">
        <v>6.0</v>
      </c>
      <c r="B14" s="12" t="s">
        <v>41</v>
      </c>
      <c r="C14" s="13"/>
      <c r="D14" s="13"/>
      <c r="E14" s="13"/>
      <c r="F14" s="13"/>
      <c r="G14" s="13"/>
      <c r="H14" s="10"/>
    </row>
    <row r="15" ht="15.0" customHeight="1">
      <c r="A15" s="19">
        <v>7.0</v>
      </c>
      <c r="B15" s="12" t="s">
        <v>43</v>
      </c>
      <c r="C15" s="13"/>
      <c r="D15" s="13"/>
      <c r="E15" s="13"/>
      <c r="F15" s="13"/>
      <c r="G15" s="13"/>
      <c r="H15" s="10"/>
    </row>
    <row r="17" ht="19.5" customHeight="1">
      <c r="A17" s="8" t="s">
        <v>42</v>
      </c>
      <c r="B17" s="3"/>
      <c r="C17" s="3"/>
      <c r="D17" s="3"/>
      <c r="E17" s="3"/>
      <c r="F17" s="3"/>
      <c r="G17" s="3"/>
      <c r="H17" s="4"/>
    </row>
    <row r="18" ht="27.75" customHeight="1">
      <c r="A18" s="16" t="s">
        <v>44</v>
      </c>
      <c r="B18" s="16" t="s">
        <v>45</v>
      </c>
      <c r="C18" s="16" t="s">
        <v>46</v>
      </c>
      <c r="D18" s="16" t="s">
        <v>47</v>
      </c>
      <c r="E18" s="16" t="s">
        <v>49</v>
      </c>
      <c r="F18" s="16" t="s">
        <v>6</v>
      </c>
      <c r="G18" s="16" t="s">
        <v>50</v>
      </c>
      <c r="H18" s="16" t="s">
        <v>9</v>
      </c>
    </row>
    <row r="19" ht="18.0" customHeight="1">
      <c r="A19" s="24" t="s">
        <v>52</v>
      </c>
      <c r="B19" s="13"/>
      <c r="C19" s="13"/>
      <c r="D19" s="13"/>
      <c r="E19" s="13"/>
      <c r="F19" s="10"/>
      <c r="G19" s="26">
        <v>0.19</v>
      </c>
      <c r="H19" s="10"/>
    </row>
    <row r="20" ht="30.0" customHeight="1">
      <c r="A20" s="19">
        <v>1.0</v>
      </c>
      <c r="B20" s="27" t="s">
        <v>55</v>
      </c>
      <c r="C20" s="21" t="s">
        <v>57</v>
      </c>
      <c r="D20" s="28" t="s">
        <v>60</v>
      </c>
      <c r="E20" s="29" t="s">
        <v>62</v>
      </c>
      <c r="F20" s="28" t="s">
        <v>8</v>
      </c>
      <c r="G20" s="19" t="s">
        <v>64</v>
      </c>
      <c r="H20" s="30"/>
    </row>
    <row r="21" ht="30.0" customHeight="1">
      <c r="A21" s="19">
        <v>2.0</v>
      </c>
      <c r="B21" s="27" t="s">
        <v>55</v>
      </c>
      <c r="C21" s="21" t="s">
        <v>65</v>
      </c>
      <c r="D21" s="28" t="s">
        <v>66</v>
      </c>
      <c r="E21" s="29" t="s">
        <v>69</v>
      </c>
      <c r="F21" s="28" t="s">
        <v>8</v>
      </c>
      <c r="G21" s="19" t="s">
        <v>64</v>
      </c>
      <c r="H21" s="30"/>
    </row>
    <row r="22" ht="30.0" customHeight="1">
      <c r="A22" s="19">
        <v>3.0</v>
      </c>
      <c r="B22" s="27" t="s">
        <v>55</v>
      </c>
      <c r="C22" s="21" t="s">
        <v>74</v>
      </c>
      <c r="D22" s="28" t="s">
        <v>75</v>
      </c>
      <c r="E22" s="29" t="s">
        <v>78</v>
      </c>
      <c r="F22" s="28" t="s">
        <v>8</v>
      </c>
      <c r="G22" s="19" t="s">
        <v>64</v>
      </c>
      <c r="H22" s="30"/>
    </row>
    <row r="23" ht="30.0" customHeight="1">
      <c r="A23" s="19">
        <v>4.0</v>
      </c>
      <c r="B23" s="27" t="s">
        <v>55</v>
      </c>
      <c r="C23" s="21" t="s">
        <v>82</v>
      </c>
      <c r="D23" s="28" t="s">
        <v>85</v>
      </c>
      <c r="E23" s="29"/>
      <c r="F23" s="28" t="s">
        <v>8</v>
      </c>
      <c r="G23" s="19" t="s">
        <v>64</v>
      </c>
      <c r="H23" s="30"/>
    </row>
    <row r="24" ht="30.0" customHeight="1">
      <c r="A24" s="19">
        <v>5.0</v>
      </c>
      <c r="B24" s="27" t="s">
        <v>89</v>
      </c>
      <c r="C24" s="21" t="s">
        <v>91</v>
      </c>
      <c r="D24" s="28" t="s">
        <v>92</v>
      </c>
      <c r="E24" s="29" t="s">
        <v>94</v>
      </c>
      <c r="F24" s="28" t="s">
        <v>8</v>
      </c>
      <c r="G24" s="19" t="s">
        <v>95</v>
      </c>
      <c r="H24" s="30"/>
    </row>
    <row r="25" ht="30.0" customHeight="1">
      <c r="A25" s="19">
        <v>6.0</v>
      </c>
      <c r="B25" s="27" t="s">
        <v>89</v>
      </c>
      <c r="C25" s="21" t="s">
        <v>96</v>
      </c>
      <c r="D25" s="28" t="s">
        <v>75</v>
      </c>
      <c r="E25" s="29" t="s">
        <v>100</v>
      </c>
      <c r="F25" s="28" t="s">
        <v>8</v>
      </c>
      <c r="G25" s="19" t="s">
        <v>95</v>
      </c>
      <c r="H25" s="30"/>
    </row>
    <row r="26" ht="30.0" customHeight="1">
      <c r="A26" s="19">
        <v>7.0</v>
      </c>
      <c r="B26" s="27" t="s">
        <v>89</v>
      </c>
      <c r="C26" s="21" t="s">
        <v>103</v>
      </c>
      <c r="D26" s="28" t="s">
        <v>104</v>
      </c>
      <c r="E26" s="29" t="s">
        <v>105</v>
      </c>
      <c r="F26" s="28" t="s">
        <v>8</v>
      </c>
      <c r="G26" s="19" t="s">
        <v>95</v>
      </c>
      <c r="H26" s="30"/>
    </row>
    <row r="27" ht="30.0" customHeight="1">
      <c r="A27" s="19">
        <v>8.0</v>
      </c>
      <c r="B27" s="27" t="s">
        <v>111</v>
      </c>
      <c r="C27" s="21" t="s">
        <v>112</v>
      </c>
      <c r="D27" s="28" t="s">
        <v>75</v>
      </c>
      <c r="E27" s="29"/>
      <c r="F27" s="28" t="s">
        <v>8</v>
      </c>
      <c r="G27" s="19" t="s">
        <v>114</v>
      </c>
      <c r="H27" s="30"/>
    </row>
    <row r="28" ht="30.0" customHeight="1">
      <c r="A28" s="19">
        <v>9.0</v>
      </c>
      <c r="B28" s="27" t="s">
        <v>111</v>
      </c>
      <c r="C28" s="21" t="s">
        <v>120</v>
      </c>
      <c r="D28" s="28" t="s">
        <v>121</v>
      </c>
      <c r="E28" s="29" t="s">
        <v>123</v>
      </c>
      <c r="F28" s="28" t="s">
        <v>8</v>
      </c>
      <c r="G28" s="19" t="s">
        <v>114</v>
      </c>
      <c r="H28" s="30"/>
    </row>
    <row r="29" ht="30.0" customHeight="1">
      <c r="A29" s="19">
        <v>10.0</v>
      </c>
      <c r="B29" s="27" t="s">
        <v>111</v>
      </c>
      <c r="C29" s="21" t="s">
        <v>131</v>
      </c>
      <c r="D29" s="28" t="s">
        <v>132</v>
      </c>
      <c r="E29" s="29" t="s">
        <v>133</v>
      </c>
      <c r="F29" s="28" t="s">
        <v>8</v>
      </c>
      <c r="G29" s="19" t="s">
        <v>114</v>
      </c>
      <c r="H29" s="30"/>
    </row>
    <row r="30" ht="30.0" customHeight="1">
      <c r="A30" s="19">
        <v>11.0</v>
      </c>
      <c r="B30" s="27" t="s">
        <v>122</v>
      </c>
      <c r="C30" s="21" t="s">
        <v>135</v>
      </c>
      <c r="D30" s="28" t="s">
        <v>75</v>
      </c>
      <c r="E30" s="29" t="s">
        <v>136</v>
      </c>
      <c r="F30" s="28" t="s">
        <v>8</v>
      </c>
      <c r="G30" s="19" t="s">
        <v>127</v>
      </c>
      <c r="H30" s="30"/>
    </row>
    <row r="31" ht="30.0" customHeight="1">
      <c r="A31" s="19">
        <v>12.0</v>
      </c>
      <c r="B31" s="27" t="s">
        <v>122</v>
      </c>
      <c r="C31" s="21" t="s">
        <v>139</v>
      </c>
      <c r="D31" s="28" t="s">
        <v>140</v>
      </c>
      <c r="E31" s="29" t="s">
        <v>141</v>
      </c>
      <c r="F31" s="28" t="s">
        <v>8</v>
      </c>
      <c r="G31" s="19" t="s">
        <v>127</v>
      </c>
      <c r="H31" s="30"/>
    </row>
    <row r="32" ht="30.0" customHeight="1">
      <c r="A32" s="19">
        <v>13.0</v>
      </c>
      <c r="B32" s="27" t="s">
        <v>122</v>
      </c>
      <c r="C32" s="21" t="s">
        <v>146</v>
      </c>
      <c r="D32" s="28" t="s">
        <v>147</v>
      </c>
      <c r="E32" s="29"/>
      <c r="F32" s="28" t="s">
        <v>8</v>
      </c>
      <c r="G32" s="19" t="s">
        <v>127</v>
      </c>
      <c r="H32" s="30"/>
    </row>
    <row r="33" ht="18.0" customHeight="1">
      <c r="A33" s="24" t="s">
        <v>150</v>
      </c>
      <c r="B33" s="13"/>
      <c r="C33" s="13"/>
      <c r="D33" s="13"/>
      <c r="E33" s="13"/>
      <c r="F33" s="10"/>
      <c r="G33" s="26">
        <v>0.15</v>
      </c>
      <c r="H33" s="10"/>
    </row>
    <row r="34" ht="30.0" customHeight="1">
      <c r="A34" s="19">
        <v>14.0</v>
      </c>
      <c r="B34" s="27" t="s">
        <v>55</v>
      </c>
      <c r="C34" s="21" t="s">
        <v>159</v>
      </c>
      <c r="D34" s="28" t="s">
        <v>161</v>
      </c>
      <c r="E34" s="29" t="s">
        <v>162</v>
      </c>
      <c r="F34" s="28" t="s">
        <v>8</v>
      </c>
      <c r="G34" s="19" t="s">
        <v>64</v>
      </c>
      <c r="H34" s="30"/>
    </row>
    <row r="35" ht="30.0" customHeight="1">
      <c r="A35" s="19">
        <v>15.0</v>
      </c>
      <c r="B35" s="27" t="s">
        <v>55</v>
      </c>
      <c r="C35" s="21" t="s">
        <v>167</v>
      </c>
      <c r="D35" s="28" t="s">
        <v>169</v>
      </c>
      <c r="E35" s="29" t="s">
        <v>171</v>
      </c>
      <c r="F35" s="28" t="s">
        <v>8</v>
      </c>
      <c r="G35" s="19" t="s">
        <v>64</v>
      </c>
      <c r="H35" s="30"/>
    </row>
    <row r="36" ht="30.0" customHeight="1">
      <c r="A36" s="19">
        <v>16.0</v>
      </c>
      <c r="B36" s="27" t="s">
        <v>55</v>
      </c>
      <c r="C36" s="21" t="s">
        <v>176</v>
      </c>
      <c r="D36" s="28" t="s">
        <v>177</v>
      </c>
      <c r="E36" s="29"/>
      <c r="F36" s="28" t="s">
        <v>8</v>
      </c>
      <c r="G36" s="19" t="s">
        <v>64</v>
      </c>
      <c r="H36" s="30"/>
    </row>
    <row r="37" ht="30.0" customHeight="1">
      <c r="A37" s="19">
        <v>17.0</v>
      </c>
      <c r="B37" s="27" t="s">
        <v>89</v>
      </c>
      <c r="C37" s="21" t="s">
        <v>182</v>
      </c>
      <c r="D37" s="28" t="s">
        <v>183</v>
      </c>
      <c r="E37" s="29" t="s">
        <v>186</v>
      </c>
      <c r="F37" s="28" t="s">
        <v>8</v>
      </c>
      <c r="G37" s="19" t="s">
        <v>95</v>
      </c>
      <c r="H37" s="30"/>
    </row>
    <row r="38" ht="30.0" customHeight="1">
      <c r="A38" s="19">
        <v>18.0</v>
      </c>
      <c r="B38" s="27" t="s">
        <v>89</v>
      </c>
      <c r="C38" s="21" t="s">
        <v>188</v>
      </c>
      <c r="D38" s="28" t="s">
        <v>189</v>
      </c>
      <c r="E38" s="29"/>
      <c r="F38" s="28" t="s">
        <v>8</v>
      </c>
      <c r="G38" s="19" t="s">
        <v>95</v>
      </c>
      <c r="H38" s="30"/>
    </row>
    <row r="39" ht="30.0" customHeight="1">
      <c r="A39" s="19">
        <v>19.0</v>
      </c>
      <c r="B39" s="27" t="s">
        <v>89</v>
      </c>
      <c r="C39" s="21" t="s">
        <v>191</v>
      </c>
      <c r="D39" s="28" t="s">
        <v>192</v>
      </c>
      <c r="E39" s="29"/>
      <c r="F39" s="28" t="s">
        <v>8</v>
      </c>
      <c r="G39" s="19" t="s">
        <v>95</v>
      </c>
      <c r="H39" s="30"/>
    </row>
    <row r="40" ht="30.0" customHeight="1">
      <c r="A40" s="19">
        <v>20.0</v>
      </c>
      <c r="B40" s="27" t="s">
        <v>111</v>
      </c>
      <c r="C40" s="21" t="s">
        <v>195</v>
      </c>
      <c r="D40" s="28" t="s">
        <v>196</v>
      </c>
      <c r="E40" s="29" t="s">
        <v>197</v>
      </c>
      <c r="F40" s="28" t="s">
        <v>8</v>
      </c>
      <c r="G40" s="19" t="s">
        <v>114</v>
      </c>
      <c r="H40" s="30"/>
    </row>
    <row r="41" ht="30.0" customHeight="1">
      <c r="A41" s="19">
        <v>21.0</v>
      </c>
      <c r="B41" s="27" t="s">
        <v>111</v>
      </c>
      <c r="C41" s="21" t="s">
        <v>188</v>
      </c>
      <c r="D41" s="28" t="s">
        <v>189</v>
      </c>
      <c r="E41" s="29"/>
      <c r="F41" s="28" t="s">
        <v>8</v>
      </c>
      <c r="G41" s="19" t="s">
        <v>114</v>
      </c>
      <c r="H41" s="30"/>
    </row>
    <row r="42" ht="30.0" customHeight="1">
      <c r="A42" s="19">
        <v>22.0</v>
      </c>
      <c r="B42" s="27" t="s">
        <v>111</v>
      </c>
      <c r="C42" s="21" t="s">
        <v>198</v>
      </c>
      <c r="D42" s="28" t="s">
        <v>199</v>
      </c>
      <c r="E42" s="29" t="s">
        <v>200</v>
      </c>
      <c r="F42" s="28" t="s">
        <v>8</v>
      </c>
      <c r="G42" s="19" t="s">
        <v>114</v>
      </c>
      <c r="H42" s="30"/>
    </row>
    <row r="43" ht="30.0" customHeight="1">
      <c r="A43" s="19">
        <v>23.0</v>
      </c>
      <c r="B43" s="27" t="s">
        <v>122</v>
      </c>
      <c r="C43" s="21" t="s">
        <v>201</v>
      </c>
      <c r="D43" s="28" t="s">
        <v>202</v>
      </c>
      <c r="E43" s="29" t="s">
        <v>203</v>
      </c>
      <c r="F43" s="28" t="s">
        <v>8</v>
      </c>
      <c r="G43" s="19" t="s">
        <v>127</v>
      </c>
      <c r="H43" s="30"/>
    </row>
    <row r="44" ht="30.0" customHeight="1">
      <c r="A44" s="19">
        <v>24.0</v>
      </c>
      <c r="B44" s="27" t="s">
        <v>122</v>
      </c>
      <c r="C44" s="21" t="s">
        <v>204</v>
      </c>
      <c r="D44" s="28" t="s">
        <v>205</v>
      </c>
      <c r="E44" s="29" t="s">
        <v>206</v>
      </c>
      <c r="F44" s="28" t="s">
        <v>8</v>
      </c>
      <c r="G44" s="19" t="s">
        <v>127</v>
      </c>
      <c r="H44" s="30"/>
    </row>
    <row r="45" ht="30.0" customHeight="1">
      <c r="A45" s="19">
        <v>25.0</v>
      </c>
      <c r="B45" s="27" t="s">
        <v>122</v>
      </c>
      <c r="C45" s="21" t="s">
        <v>207</v>
      </c>
      <c r="D45" s="28" t="s">
        <v>208</v>
      </c>
      <c r="E45" s="29" t="s">
        <v>209</v>
      </c>
      <c r="F45" s="28" t="s">
        <v>8</v>
      </c>
      <c r="G45" s="19" t="s">
        <v>127</v>
      </c>
      <c r="H45" s="30"/>
    </row>
    <row r="46" ht="30.0" customHeight="1">
      <c r="A46" s="19">
        <v>26.0</v>
      </c>
      <c r="B46" s="27" t="s">
        <v>122</v>
      </c>
      <c r="C46" s="21" t="s">
        <v>211</v>
      </c>
      <c r="D46" s="28" t="s">
        <v>212</v>
      </c>
      <c r="E46" s="29" t="s">
        <v>213</v>
      </c>
      <c r="F46" s="28" t="s">
        <v>8</v>
      </c>
      <c r="G46" s="19" t="s">
        <v>127</v>
      </c>
      <c r="H46" s="30"/>
    </row>
    <row r="47" ht="19.5" customHeight="1">
      <c r="A47" s="35"/>
      <c r="B47" s="35"/>
      <c r="C47" s="35"/>
      <c r="D47" s="35"/>
      <c r="E47" s="35"/>
      <c r="F47" s="35"/>
      <c r="G47" s="35"/>
      <c r="H47" s="36"/>
    </row>
    <row r="48" ht="19.5" customHeight="1">
      <c r="A48" s="35"/>
      <c r="B48" s="35"/>
      <c r="C48" s="35"/>
      <c r="D48" s="35"/>
      <c r="E48" s="35"/>
      <c r="F48" s="35"/>
      <c r="G48" s="35"/>
      <c r="H48" s="36"/>
    </row>
    <row r="49" ht="15.75" customHeight="1">
      <c r="A49" s="37" t="s">
        <v>194</v>
      </c>
      <c r="B49" s="13"/>
      <c r="C49" s="13"/>
      <c r="D49" s="10"/>
      <c r="E49" s="39">
        <f>COUNTIF(H20:H48,"Done")</f>
        <v>0</v>
      </c>
      <c r="F49" s="40" t="str">
        <f>"of 26 actions"</f>
        <v>of 26 actions</v>
      </c>
      <c r="G49" s="41" t="s">
        <v>22</v>
      </c>
      <c r="H49" s="42">
        <f>IFERROR($E49/26,0)</f>
        <v>0</v>
      </c>
    </row>
    <row r="50" ht="15.75" customHeight="1"/>
    <row r="51" ht="19.5" customHeight="1">
      <c r="A51" s="8" t="s">
        <v>216</v>
      </c>
      <c r="B51" s="3"/>
      <c r="C51" s="3"/>
      <c r="D51" s="3"/>
      <c r="E51" s="3"/>
      <c r="F51" s="3"/>
      <c r="G51" s="3"/>
      <c r="H51" s="4"/>
    </row>
    <row r="52" ht="15.0" customHeight="1">
      <c r="A52" s="19">
        <v>1.0</v>
      </c>
      <c r="B52" s="12" t="s">
        <v>231</v>
      </c>
      <c r="C52" s="13"/>
      <c r="D52" s="13"/>
      <c r="E52" s="13"/>
      <c r="F52" s="13"/>
      <c r="G52" s="13"/>
      <c r="H52" s="10"/>
    </row>
    <row r="53" ht="15.0" customHeight="1">
      <c r="A53" s="19">
        <v>2.0</v>
      </c>
      <c r="B53" s="12" t="s">
        <v>236</v>
      </c>
      <c r="C53" s="13"/>
      <c r="D53" s="13"/>
      <c r="E53" s="13"/>
      <c r="F53" s="13"/>
      <c r="G53" s="13"/>
      <c r="H53" s="10"/>
    </row>
    <row r="54" ht="15.0" customHeight="1">
      <c r="A54" s="19">
        <v>3.0</v>
      </c>
      <c r="B54" s="12" t="s">
        <v>242</v>
      </c>
      <c r="C54" s="13"/>
      <c r="D54" s="13"/>
      <c r="E54" s="13"/>
      <c r="F54" s="13"/>
      <c r="G54" s="13"/>
      <c r="H54" s="10"/>
    </row>
    <row r="55" ht="15.0" customHeight="1">
      <c r="A55" s="19">
        <v>4.0</v>
      </c>
      <c r="B55" s="12" t="s">
        <v>246</v>
      </c>
      <c r="C55" s="13"/>
      <c r="D55" s="13"/>
      <c r="E55" s="13"/>
      <c r="F55" s="13"/>
      <c r="G55" s="13"/>
      <c r="H55" s="10"/>
    </row>
    <row r="56" ht="15.0" customHeight="1">
      <c r="A56" s="19">
        <v>5.0</v>
      </c>
      <c r="B56" s="12" t="s">
        <v>252</v>
      </c>
      <c r="C56" s="13"/>
      <c r="D56" s="13"/>
      <c r="E56" s="13"/>
      <c r="F56" s="13"/>
      <c r="G56" s="13"/>
      <c r="H56" s="10"/>
    </row>
    <row r="57" ht="30.0" customHeight="1">
      <c r="A57" s="19">
        <v>6.0</v>
      </c>
      <c r="B57" s="12" t="s">
        <v>258</v>
      </c>
      <c r="C57" s="13"/>
      <c r="D57" s="13"/>
      <c r="E57" s="13"/>
      <c r="F57" s="13"/>
      <c r="G57" s="13"/>
      <c r="H57" s="10"/>
    </row>
    <row r="58" ht="15.0" customHeight="1">
      <c r="A58" s="19">
        <v>7.0</v>
      </c>
      <c r="B58" s="12" t="s">
        <v>264</v>
      </c>
      <c r="C58" s="13"/>
      <c r="D58" s="13"/>
      <c r="E58" s="13"/>
      <c r="F58" s="13"/>
      <c r="G58" s="13"/>
      <c r="H58" s="10"/>
    </row>
    <row r="59" ht="15.75" customHeight="1"/>
    <row r="60" ht="19.5" customHeight="1">
      <c r="A60" s="8" t="s">
        <v>240</v>
      </c>
      <c r="B60" s="3"/>
      <c r="C60" s="3"/>
      <c r="D60" s="3"/>
      <c r="E60" s="3"/>
      <c r="F60" s="3"/>
      <c r="G60" s="3"/>
      <c r="H60" s="4"/>
    </row>
    <row r="61" ht="15.0" customHeight="1">
      <c r="A61" s="19">
        <v>1.0</v>
      </c>
      <c r="B61" s="12" t="s">
        <v>280</v>
      </c>
      <c r="C61" s="13"/>
      <c r="D61" s="13"/>
      <c r="E61" s="13"/>
      <c r="F61" s="13"/>
      <c r="G61" s="13"/>
      <c r="H61" s="10"/>
    </row>
    <row r="62" ht="15.0" customHeight="1">
      <c r="A62" s="19">
        <v>2.0</v>
      </c>
      <c r="B62" s="12" t="s">
        <v>287</v>
      </c>
      <c r="C62" s="13"/>
      <c r="D62" s="13"/>
      <c r="E62" s="13"/>
      <c r="F62" s="13"/>
      <c r="G62" s="13"/>
      <c r="H62" s="10"/>
    </row>
    <row r="63" ht="15.0" customHeight="1">
      <c r="A63" s="19">
        <v>3.0</v>
      </c>
      <c r="B63" s="12" t="s">
        <v>292</v>
      </c>
      <c r="C63" s="13"/>
      <c r="D63" s="13"/>
      <c r="E63" s="13"/>
      <c r="F63" s="13"/>
      <c r="G63" s="13"/>
      <c r="H63" s="10"/>
    </row>
    <row r="64" ht="15.0" customHeight="1">
      <c r="A64" s="19">
        <v>4.0</v>
      </c>
      <c r="B64" s="12" t="s">
        <v>306</v>
      </c>
      <c r="C64" s="13"/>
      <c r="D64" s="13"/>
      <c r="E64" s="13"/>
      <c r="F64" s="13"/>
      <c r="G64" s="13"/>
      <c r="H64" s="10"/>
    </row>
    <row r="65" ht="15.75" customHeight="1"/>
    <row r="66" ht="19.5" customHeight="1">
      <c r="A66" s="8" t="s">
        <v>269</v>
      </c>
      <c r="B66" s="3"/>
      <c r="C66" s="3"/>
      <c r="D66" s="3"/>
      <c r="E66" s="3"/>
      <c r="F66" s="3"/>
      <c r="G66" s="3"/>
      <c r="H66" s="4"/>
    </row>
    <row r="67" ht="45.0" customHeight="1">
      <c r="A67" s="12" t="s">
        <v>320</v>
      </c>
      <c r="B67" s="13"/>
      <c r="C67" s="13"/>
      <c r="D67" s="13"/>
      <c r="E67" s="13"/>
      <c r="F67" s="13"/>
      <c r="G67" s="13"/>
      <c r="H67" s="10"/>
    </row>
    <row r="68" ht="15.75" customHeight="1"/>
    <row r="69" ht="19.5" customHeight="1">
      <c r="A69" s="8" t="s">
        <v>281</v>
      </c>
      <c r="B69" s="3"/>
      <c r="C69" s="3"/>
      <c r="D69" s="3"/>
      <c r="E69" s="3"/>
      <c r="F69" s="3"/>
      <c r="G69" s="3"/>
      <c r="H69" s="4"/>
    </row>
    <row r="70" ht="19.5" customHeight="1">
      <c r="A70" s="16" t="s">
        <v>44</v>
      </c>
      <c r="B70" s="44" t="s">
        <v>288</v>
      </c>
      <c r="C70" s="13"/>
      <c r="D70" s="10"/>
      <c r="E70" s="44" t="s">
        <v>291</v>
      </c>
      <c r="F70" s="13"/>
      <c r="G70" s="13"/>
      <c r="H70" s="10"/>
    </row>
    <row r="71" ht="30.0" customHeight="1">
      <c r="A71" s="19">
        <v>1.0</v>
      </c>
      <c r="B71" s="12" t="s">
        <v>337</v>
      </c>
      <c r="C71" s="13"/>
      <c r="D71" s="10"/>
      <c r="E71" s="12" t="s">
        <v>338</v>
      </c>
      <c r="F71" s="13"/>
      <c r="G71" s="13"/>
      <c r="H71" s="10"/>
    </row>
    <row r="72" ht="30.0" customHeight="1">
      <c r="A72" s="19">
        <v>2.0</v>
      </c>
      <c r="B72" s="12" t="s">
        <v>339</v>
      </c>
      <c r="C72" s="13"/>
      <c r="D72" s="10"/>
      <c r="E72" s="12" t="s">
        <v>340</v>
      </c>
      <c r="F72" s="13"/>
      <c r="G72" s="13"/>
      <c r="H72" s="10"/>
    </row>
    <row r="73" ht="30.0" customHeight="1">
      <c r="A73" s="19">
        <v>3.0</v>
      </c>
      <c r="B73" s="12" t="s">
        <v>341</v>
      </c>
      <c r="C73" s="13"/>
      <c r="D73" s="10"/>
      <c r="E73" s="12" t="s">
        <v>342</v>
      </c>
      <c r="F73" s="13"/>
      <c r="G73" s="13"/>
      <c r="H73" s="10"/>
    </row>
    <row r="74" ht="15.75" customHeight="1"/>
    <row r="75" ht="19.5" customHeight="1">
      <c r="A75" s="8" t="s">
        <v>317</v>
      </c>
      <c r="B75" s="3"/>
      <c r="C75" s="3"/>
      <c r="D75" s="3"/>
      <c r="E75" s="3"/>
      <c r="F75" s="3"/>
      <c r="G75" s="3"/>
      <c r="H75" s="4"/>
    </row>
    <row r="76" ht="21.75" customHeight="1">
      <c r="A76" s="46" t="s">
        <v>322</v>
      </c>
      <c r="B76" s="13"/>
      <c r="C76" s="13"/>
      <c r="D76" s="13"/>
      <c r="E76" s="13"/>
      <c r="F76" s="13"/>
      <c r="G76" s="13"/>
      <c r="H76" s="10"/>
    </row>
    <row r="77" ht="19.5" customHeight="1">
      <c r="A77" s="16" t="s">
        <v>44</v>
      </c>
      <c r="B77" s="16" t="s">
        <v>330</v>
      </c>
      <c r="C77" s="44" t="s">
        <v>331</v>
      </c>
      <c r="D77" s="10"/>
      <c r="E77" s="44" t="s">
        <v>335</v>
      </c>
      <c r="F77" s="10"/>
      <c r="G77" s="44" t="s">
        <v>336</v>
      </c>
      <c r="H77" s="10"/>
    </row>
    <row r="78" ht="19.5" customHeight="1">
      <c r="A78" s="47">
        <v>1.0</v>
      </c>
      <c r="B78" s="48"/>
      <c r="C78" s="45"/>
      <c r="D78" s="10"/>
      <c r="E78" s="45"/>
      <c r="F78" s="10"/>
      <c r="G78" s="45"/>
      <c r="H78" s="10"/>
    </row>
    <row r="79" ht="19.5" customHeight="1">
      <c r="A79" s="47">
        <v>2.0</v>
      </c>
      <c r="B79" s="48"/>
      <c r="C79" s="45"/>
      <c r="D79" s="10"/>
      <c r="E79" s="45"/>
      <c r="F79" s="10"/>
      <c r="G79" s="45"/>
      <c r="H79" s="10"/>
    </row>
    <row r="80" ht="19.5" customHeight="1">
      <c r="A80" s="47">
        <v>3.0</v>
      </c>
      <c r="B80" s="48"/>
      <c r="C80" s="45"/>
      <c r="D80" s="10"/>
      <c r="E80" s="45"/>
      <c r="F80" s="10"/>
      <c r="G80" s="45"/>
      <c r="H80" s="10"/>
    </row>
    <row r="81" ht="19.5" customHeight="1">
      <c r="A81" s="47">
        <v>4.0</v>
      </c>
      <c r="B81" s="48"/>
      <c r="C81" s="45"/>
      <c r="D81" s="10"/>
      <c r="E81" s="45"/>
      <c r="F81" s="10"/>
      <c r="G81" s="45"/>
      <c r="H81" s="10"/>
    </row>
    <row r="82" ht="19.5" customHeight="1">
      <c r="A82" s="47">
        <v>5.0</v>
      </c>
      <c r="B82" s="48"/>
      <c r="C82" s="45"/>
      <c r="D82" s="10"/>
      <c r="E82" s="45"/>
      <c r="F82" s="10"/>
      <c r="G82" s="45"/>
      <c r="H82" s="10"/>
    </row>
    <row r="83" ht="19.5" customHeight="1">
      <c r="A83" s="47">
        <v>6.0</v>
      </c>
      <c r="B83" s="48"/>
      <c r="C83" s="45"/>
      <c r="D83" s="10"/>
      <c r="E83" s="45"/>
      <c r="F83" s="10"/>
      <c r="G83" s="45"/>
      <c r="H83" s="10"/>
    </row>
    <row r="84" ht="19.5" customHeight="1">
      <c r="A84" s="47">
        <v>7.0</v>
      </c>
      <c r="B84" s="48"/>
      <c r="C84" s="45"/>
      <c r="D84" s="10"/>
      <c r="E84" s="45"/>
      <c r="F84" s="10"/>
      <c r="G84" s="45"/>
      <c r="H84" s="10"/>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0">
    <mergeCell ref="E80:F80"/>
    <mergeCell ref="G80:H80"/>
    <mergeCell ref="C78:D78"/>
    <mergeCell ref="E78:F78"/>
    <mergeCell ref="G78:H78"/>
    <mergeCell ref="C79:D79"/>
    <mergeCell ref="E79:F79"/>
    <mergeCell ref="G79:H79"/>
    <mergeCell ref="C80:D80"/>
    <mergeCell ref="E83:F83"/>
    <mergeCell ref="G83:H83"/>
    <mergeCell ref="C84:D84"/>
    <mergeCell ref="E84:F84"/>
    <mergeCell ref="G84:H84"/>
    <mergeCell ref="C81:D81"/>
    <mergeCell ref="E81:F81"/>
    <mergeCell ref="G81:H81"/>
    <mergeCell ref="C82:D82"/>
    <mergeCell ref="E82:F82"/>
    <mergeCell ref="G82:H82"/>
    <mergeCell ref="C83:D83"/>
    <mergeCell ref="A1:H1"/>
    <mergeCell ref="D2:E2"/>
    <mergeCell ref="G2:H2"/>
    <mergeCell ref="A3:H3"/>
    <mergeCell ref="A5:H5"/>
    <mergeCell ref="A6:H6"/>
    <mergeCell ref="A8:H8"/>
    <mergeCell ref="B9:H9"/>
    <mergeCell ref="B10:H10"/>
    <mergeCell ref="B11:H11"/>
    <mergeCell ref="B12:H12"/>
    <mergeCell ref="B13:H13"/>
    <mergeCell ref="B14:H14"/>
    <mergeCell ref="B15:H15"/>
    <mergeCell ref="A17:H17"/>
    <mergeCell ref="A19:F19"/>
    <mergeCell ref="G19:H19"/>
    <mergeCell ref="A33:F33"/>
    <mergeCell ref="G33:H33"/>
    <mergeCell ref="A49:D49"/>
    <mergeCell ref="A51:H51"/>
    <mergeCell ref="B52:H52"/>
    <mergeCell ref="B53:H53"/>
    <mergeCell ref="B54:H54"/>
    <mergeCell ref="B55:H55"/>
    <mergeCell ref="B56:H56"/>
    <mergeCell ref="B57:H57"/>
    <mergeCell ref="B58:H58"/>
    <mergeCell ref="A60:H60"/>
    <mergeCell ref="B61:H61"/>
    <mergeCell ref="B62:H62"/>
    <mergeCell ref="B63:H63"/>
    <mergeCell ref="B64:H64"/>
    <mergeCell ref="A66:H66"/>
    <mergeCell ref="A67:H67"/>
    <mergeCell ref="A69:H69"/>
    <mergeCell ref="B70:D70"/>
    <mergeCell ref="E70:H70"/>
    <mergeCell ref="B71:D71"/>
    <mergeCell ref="E71:H71"/>
    <mergeCell ref="B72:D72"/>
    <mergeCell ref="E72:H72"/>
    <mergeCell ref="B73:D73"/>
    <mergeCell ref="E73:H73"/>
    <mergeCell ref="A75:H75"/>
    <mergeCell ref="A76:H76"/>
    <mergeCell ref="C77:D77"/>
    <mergeCell ref="E77:F77"/>
    <mergeCell ref="G77:H77"/>
  </mergeCells>
  <dataValidations>
    <dataValidation type="list" allowBlank="1" sqref="G2">
      <formula1>"Not started,On track,At risk,Behind,Done"</formula1>
    </dataValidation>
    <dataValidation type="list" allowBlank="1" sqref="H20:H32 H34:H48">
      <formula1>"Not started,In progress,Done,Blocked"</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9.0"/>
    <col customWidth="1" min="3" max="3" width="56.0"/>
    <col customWidth="1" min="4" max="4" width="28.0"/>
    <col customWidth="1" min="5" max="5" width="48.0"/>
    <col customWidth="1" min="6" max="6" width="20.0"/>
    <col customWidth="1" min="7" max="7" width="11.0"/>
    <col customWidth="1" min="8" max="8" width="13.0"/>
    <col customWidth="1" min="9" max="26" width="8.71"/>
  </cols>
  <sheetData>
    <row r="1" ht="25.5" customHeight="1">
      <c r="A1" s="2" t="s">
        <v>1</v>
      </c>
      <c r="B1" s="3"/>
      <c r="C1" s="3"/>
      <c r="D1" s="3"/>
      <c r="E1" s="3"/>
      <c r="F1" s="3"/>
      <c r="G1" s="3"/>
      <c r="H1" s="4"/>
    </row>
    <row r="2">
      <c r="A2" s="5" t="s">
        <v>4</v>
      </c>
      <c r="B2" s="7">
        <v>0.3</v>
      </c>
      <c r="C2" s="5" t="s">
        <v>6</v>
      </c>
      <c r="D2" s="9" t="s">
        <v>7</v>
      </c>
      <c r="E2" s="10"/>
      <c r="F2" s="5" t="s">
        <v>9</v>
      </c>
      <c r="G2" s="14"/>
      <c r="H2" s="10"/>
    </row>
    <row r="3">
      <c r="A3" s="15" t="s">
        <v>15</v>
      </c>
    </row>
    <row r="5" ht="19.5" customHeight="1">
      <c r="A5" s="8" t="s">
        <v>16</v>
      </c>
      <c r="B5" s="3"/>
      <c r="C5" s="3"/>
      <c r="D5" s="3"/>
      <c r="E5" s="3"/>
      <c r="F5" s="3"/>
      <c r="G5" s="3"/>
      <c r="H5" s="4"/>
    </row>
    <row r="6" ht="75.0" customHeight="1">
      <c r="A6" s="12" t="s">
        <v>21</v>
      </c>
      <c r="B6" s="13"/>
      <c r="C6" s="13"/>
      <c r="D6" s="13"/>
      <c r="E6" s="13"/>
      <c r="F6" s="13"/>
      <c r="G6" s="13"/>
      <c r="H6" s="10"/>
    </row>
    <row r="8" ht="19.5" customHeight="1">
      <c r="A8" s="8" t="s">
        <v>25</v>
      </c>
      <c r="B8" s="3"/>
      <c r="C8" s="3"/>
      <c r="D8" s="3"/>
      <c r="E8" s="3"/>
      <c r="F8" s="3"/>
      <c r="G8" s="3"/>
      <c r="H8" s="4"/>
    </row>
    <row r="9" ht="15.0" customHeight="1">
      <c r="A9" s="19">
        <v>1.0</v>
      </c>
      <c r="B9" s="12" t="s">
        <v>27</v>
      </c>
      <c r="C9" s="13"/>
      <c r="D9" s="13"/>
      <c r="E9" s="13"/>
      <c r="F9" s="13"/>
      <c r="G9" s="13"/>
      <c r="H9" s="10"/>
    </row>
    <row r="10" ht="15.0" customHeight="1">
      <c r="A10" s="19">
        <v>2.0</v>
      </c>
      <c r="B10" s="12" t="s">
        <v>29</v>
      </c>
      <c r="C10" s="13"/>
      <c r="D10" s="13"/>
      <c r="E10" s="13"/>
      <c r="F10" s="13"/>
      <c r="G10" s="13"/>
      <c r="H10" s="10"/>
    </row>
    <row r="11" ht="15.0" customHeight="1">
      <c r="A11" s="19">
        <v>3.0</v>
      </c>
      <c r="B11" s="12" t="s">
        <v>31</v>
      </c>
      <c r="C11" s="13"/>
      <c r="D11" s="13"/>
      <c r="E11" s="13"/>
      <c r="F11" s="13"/>
      <c r="G11" s="13"/>
      <c r="H11" s="10"/>
    </row>
    <row r="12" ht="15.0" customHeight="1">
      <c r="A12" s="19">
        <v>4.0</v>
      </c>
      <c r="B12" s="12" t="s">
        <v>33</v>
      </c>
      <c r="C12" s="13"/>
      <c r="D12" s="13"/>
      <c r="E12" s="13"/>
      <c r="F12" s="13"/>
      <c r="G12" s="13"/>
      <c r="H12" s="10"/>
    </row>
    <row r="13" ht="15.0" customHeight="1">
      <c r="A13" s="19">
        <v>5.0</v>
      </c>
      <c r="B13" s="12" t="s">
        <v>35</v>
      </c>
      <c r="C13" s="13"/>
      <c r="D13" s="13"/>
      <c r="E13" s="13"/>
      <c r="F13" s="13"/>
      <c r="G13" s="13"/>
      <c r="H13" s="10"/>
    </row>
    <row r="14" ht="15.0" customHeight="1">
      <c r="A14" s="19">
        <v>6.0</v>
      </c>
      <c r="B14" s="12" t="s">
        <v>37</v>
      </c>
      <c r="C14" s="13"/>
      <c r="D14" s="13"/>
      <c r="E14" s="13"/>
      <c r="F14" s="13"/>
      <c r="G14" s="13"/>
      <c r="H14" s="10"/>
    </row>
    <row r="15" ht="15.0" customHeight="1">
      <c r="A15" s="19">
        <v>7.0</v>
      </c>
      <c r="B15" s="12" t="s">
        <v>39</v>
      </c>
      <c r="C15" s="13"/>
      <c r="D15" s="13"/>
      <c r="E15" s="13"/>
      <c r="F15" s="13"/>
      <c r="G15" s="13"/>
      <c r="H15" s="10"/>
    </row>
    <row r="17" ht="19.5" customHeight="1">
      <c r="A17" s="8" t="s">
        <v>42</v>
      </c>
      <c r="B17" s="3"/>
      <c r="C17" s="3"/>
      <c r="D17" s="3"/>
      <c r="E17" s="3"/>
      <c r="F17" s="3"/>
      <c r="G17" s="3"/>
      <c r="H17" s="4"/>
    </row>
    <row r="18" ht="27.75" customHeight="1">
      <c r="A18" s="16" t="s">
        <v>44</v>
      </c>
      <c r="B18" s="16" t="s">
        <v>45</v>
      </c>
      <c r="C18" s="16" t="s">
        <v>46</v>
      </c>
      <c r="D18" s="16" t="s">
        <v>47</v>
      </c>
      <c r="E18" s="16" t="s">
        <v>49</v>
      </c>
      <c r="F18" s="16" t="s">
        <v>6</v>
      </c>
      <c r="G18" s="16" t="s">
        <v>50</v>
      </c>
      <c r="H18" s="16" t="s">
        <v>9</v>
      </c>
    </row>
    <row r="19" ht="18.0" customHeight="1">
      <c r="A19" s="24" t="s">
        <v>51</v>
      </c>
      <c r="B19" s="13"/>
      <c r="C19" s="13"/>
      <c r="D19" s="13"/>
      <c r="E19" s="13"/>
      <c r="F19" s="10"/>
      <c r="G19" s="26">
        <v>0.17</v>
      </c>
      <c r="H19" s="10"/>
    </row>
    <row r="20" ht="30.0" customHeight="1">
      <c r="A20" s="19">
        <v>1.0</v>
      </c>
      <c r="B20" s="27" t="s">
        <v>55</v>
      </c>
      <c r="C20" s="21" t="s">
        <v>56</v>
      </c>
      <c r="D20" s="28" t="s">
        <v>59</v>
      </c>
      <c r="E20" s="29" t="s">
        <v>63</v>
      </c>
      <c r="F20" s="28" t="s">
        <v>7</v>
      </c>
      <c r="G20" s="19" t="s">
        <v>64</v>
      </c>
      <c r="H20" s="30"/>
    </row>
    <row r="21" ht="30.0" customHeight="1">
      <c r="A21" s="19">
        <v>2.0</v>
      </c>
      <c r="B21" s="27" t="s">
        <v>55</v>
      </c>
      <c r="C21" s="21" t="s">
        <v>68</v>
      </c>
      <c r="D21" s="28" t="s">
        <v>71</v>
      </c>
      <c r="E21" s="29" t="s">
        <v>73</v>
      </c>
      <c r="F21" s="28" t="s">
        <v>7</v>
      </c>
      <c r="G21" s="19" t="s">
        <v>64</v>
      </c>
      <c r="H21" s="30"/>
    </row>
    <row r="22" ht="30.0" customHeight="1">
      <c r="A22" s="19">
        <v>3.0</v>
      </c>
      <c r="B22" s="27" t="s">
        <v>55</v>
      </c>
      <c r="C22" s="21" t="s">
        <v>77</v>
      </c>
      <c r="D22" s="28" t="s">
        <v>79</v>
      </c>
      <c r="E22" s="29" t="s">
        <v>81</v>
      </c>
      <c r="F22" s="28" t="s">
        <v>7</v>
      </c>
      <c r="G22" s="19" t="s">
        <v>64</v>
      </c>
      <c r="H22" s="30"/>
    </row>
    <row r="23" ht="30.0" customHeight="1">
      <c r="A23" s="19">
        <v>4.0</v>
      </c>
      <c r="B23" s="27" t="s">
        <v>83</v>
      </c>
      <c r="C23" s="21" t="s">
        <v>84</v>
      </c>
      <c r="D23" s="28" t="s">
        <v>86</v>
      </c>
      <c r="E23" s="29" t="s">
        <v>87</v>
      </c>
      <c r="F23" s="28" t="s">
        <v>7</v>
      </c>
      <c r="G23" s="19" t="s">
        <v>88</v>
      </c>
      <c r="H23" s="30"/>
    </row>
    <row r="24" ht="30.0" customHeight="1">
      <c r="A24" s="19">
        <v>5.0</v>
      </c>
      <c r="B24" s="27" t="s">
        <v>89</v>
      </c>
      <c r="C24" s="21" t="s">
        <v>90</v>
      </c>
      <c r="D24" s="28" t="s">
        <v>93</v>
      </c>
      <c r="E24" s="29"/>
      <c r="F24" s="28" t="s">
        <v>7</v>
      </c>
      <c r="G24" s="19" t="s">
        <v>95</v>
      </c>
      <c r="H24" s="30"/>
    </row>
    <row r="25" ht="30.0" customHeight="1">
      <c r="A25" s="19">
        <v>6.0</v>
      </c>
      <c r="B25" s="27" t="s">
        <v>89</v>
      </c>
      <c r="C25" s="21" t="s">
        <v>99</v>
      </c>
      <c r="D25" s="28" t="s">
        <v>101</v>
      </c>
      <c r="E25" s="29" t="s">
        <v>102</v>
      </c>
      <c r="F25" s="28" t="s">
        <v>7</v>
      </c>
      <c r="G25" s="19" t="s">
        <v>95</v>
      </c>
      <c r="H25" s="30"/>
    </row>
    <row r="26" ht="30.0" customHeight="1">
      <c r="A26" s="19">
        <v>7.0</v>
      </c>
      <c r="B26" s="27" t="s">
        <v>89</v>
      </c>
      <c r="C26" s="21" t="s">
        <v>106</v>
      </c>
      <c r="D26" s="28" t="s">
        <v>108</v>
      </c>
      <c r="E26" s="29"/>
      <c r="F26" s="28" t="s">
        <v>7</v>
      </c>
      <c r="G26" s="19" t="s">
        <v>95</v>
      </c>
      <c r="H26" s="30"/>
    </row>
    <row r="27" ht="30.0" customHeight="1">
      <c r="A27" s="19">
        <v>8.0</v>
      </c>
      <c r="B27" s="27" t="s">
        <v>111</v>
      </c>
      <c r="C27" s="21" t="s">
        <v>113</v>
      </c>
      <c r="D27" s="28" t="s">
        <v>115</v>
      </c>
      <c r="E27" s="29" t="s">
        <v>116</v>
      </c>
      <c r="F27" s="28" t="s">
        <v>7</v>
      </c>
      <c r="G27" s="19" t="s">
        <v>114</v>
      </c>
      <c r="H27" s="30"/>
    </row>
    <row r="28" ht="30.0" customHeight="1">
      <c r="A28" s="19">
        <v>9.0</v>
      </c>
      <c r="B28" s="27" t="s">
        <v>111</v>
      </c>
      <c r="C28" s="21" t="s">
        <v>117</v>
      </c>
      <c r="D28" s="28" t="s">
        <v>118</v>
      </c>
      <c r="E28" s="29" t="s">
        <v>119</v>
      </c>
      <c r="F28" s="28" t="s">
        <v>7</v>
      </c>
      <c r="G28" s="19" t="s">
        <v>114</v>
      </c>
      <c r="H28" s="30"/>
    </row>
    <row r="29" ht="45.0" customHeight="1">
      <c r="A29" s="19">
        <v>10.0</v>
      </c>
      <c r="B29" s="27" t="s">
        <v>122</v>
      </c>
      <c r="C29" s="21" t="s">
        <v>124</v>
      </c>
      <c r="D29" s="28" t="s">
        <v>125</v>
      </c>
      <c r="E29" s="29" t="s">
        <v>126</v>
      </c>
      <c r="F29" s="28" t="s">
        <v>7</v>
      </c>
      <c r="G29" s="19" t="s">
        <v>127</v>
      </c>
      <c r="H29" s="30"/>
    </row>
    <row r="30" ht="30.0" customHeight="1">
      <c r="A30" s="19">
        <v>11.0</v>
      </c>
      <c r="B30" s="27" t="s">
        <v>122</v>
      </c>
      <c r="C30" s="21" t="s">
        <v>128</v>
      </c>
      <c r="D30" s="28" t="s">
        <v>129</v>
      </c>
      <c r="E30" s="29" t="s">
        <v>130</v>
      </c>
      <c r="F30" s="28" t="s">
        <v>7</v>
      </c>
      <c r="G30" s="19" t="s">
        <v>127</v>
      </c>
      <c r="H30" s="30"/>
    </row>
    <row r="31" ht="18.0" customHeight="1">
      <c r="A31" s="24" t="s">
        <v>134</v>
      </c>
      <c r="B31" s="13"/>
      <c r="C31" s="13"/>
      <c r="D31" s="13"/>
      <c r="E31" s="13"/>
      <c r="F31" s="10"/>
      <c r="G31" s="26">
        <v>0.13</v>
      </c>
      <c r="H31" s="10"/>
    </row>
    <row r="32" ht="30.0" customHeight="1">
      <c r="A32" s="19">
        <v>12.0</v>
      </c>
      <c r="B32" s="27" t="s">
        <v>55</v>
      </c>
      <c r="C32" s="21" t="s">
        <v>142</v>
      </c>
      <c r="D32" s="28" t="s">
        <v>143</v>
      </c>
      <c r="E32" s="29" t="s">
        <v>144</v>
      </c>
      <c r="F32" s="28" t="s">
        <v>145</v>
      </c>
      <c r="G32" s="19" t="s">
        <v>64</v>
      </c>
      <c r="H32" s="30"/>
    </row>
    <row r="33" ht="30.0" customHeight="1">
      <c r="A33" s="19">
        <v>13.0</v>
      </c>
      <c r="B33" s="27" t="s">
        <v>55</v>
      </c>
      <c r="C33" s="21" t="s">
        <v>148</v>
      </c>
      <c r="D33" s="28" t="s">
        <v>149</v>
      </c>
      <c r="E33" s="29" t="s">
        <v>151</v>
      </c>
      <c r="F33" s="28" t="s">
        <v>145</v>
      </c>
      <c r="G33" s="19" t="s">
        <v>64</v>
      </c>
      <c r="H33" s="30"/>
    </row>
    <row r="34" ht="30.0" customHeight="1">
      <c r="A34" s="19">
        <v>14.0</v>
      </c>
      <c r="B34" s="27" t="s">
        <v>55</v>
      </c>
      <c r="C34" s="21" t="s">
        <v>152</v>
      </c>
      <c r="D34" s="28" t="s">
        <v>153</v>
      </c>
      <c r="E34" s="29"/>
      <c r="F34" s="28" t="s">
        <v>145</v>
      </c>
      <c r="G34" s="19" t="s">
        <v>64</v>
      </c>
      <c r="H34" s="30"/>
    </row>
    <row r="35" ht="30.0" customHeight="1">
      <c r="A35" s="19">
        <v>15.0</v>
      </c>
      <c r="B35" s="27" t="s">
        <v>89</v>
      </c>
      <c r="C35" s="21" t="s">
        <v>154</v>
      </c>
      <c r="D35" s="28" t="s">
        <v>155</v>
      </c>
      <c r="E35" s="29" t="s">
        <v>156</v>
      </c>
      <c r="F35" s="28" t="s">
        <v>145</v>
      </c>
      <c r="G35" s="19" t="s">
        <v>95</v>
      </c>
      <c r="H35" s="30"/>
    </row>
    <row r="36" ht="30.0" customHeight="1">
      <c r="A36" s="19">
        <v>16.0</v>
      </c>
      <c r="B36" s="27" t="s">
        <v>89</v>
      </c>
      <c r="C36" s="21" t="s">
        <v>157</v>
      </c>
      <c r="D36" s="28" t="s">
        <v>158</v>
      </c>
      <c r="E36" s="29" t="s">
        <v>160</v>
      </c>
      <c r="F36" s="28" t="s">
        <v>7</v>
      </c>
      <c r="G36" s="19" t="s">
        <v>95</v>
      </c>
      <c r="H36" s="30"/>
    </row>
    <row r="37" ht="30.0" customHeight="1">
      <c r="A37" s="19">
        <v>17.0</v>
      </c>
      <c r="B37" s="27" t="s">
        <v>89</v>
      </c>
      <c r="C37" s="21" t="s">
        <v>164</v>
      </c>
      <c r="D37" s="28" t="s">
        <v>165</v>
      </c>
      <c r="E37" s="29" t="s">
        <v>166</v>
      </c>
      <c r="F37" s="28" t="s">
        <v>145</v>
      </c>
      <c r="G37" s="19" t="s">
        <v>95</v>
      </c>
      <c r="H37" s="30"/>
    </row>
    <row r="38" ht="30.0" customHeight="1">
      <c r="A38" s="19">
        <v>18.0</v>
      </c>
      <c r="B38" s="27" t="s">
        <v>111</v>
      </c>
      <c r="C38" s="21" t="s">
        <v>168</v>
      </c>
      <c r="D38" s="28" t="s">
        <v>170</v>
      </c>
      <c r="E38" s="29"/>
      <c r="F38" s="28" t="s">
        <v>7</v>
      </c>
      <c r="G38" s="19" t="s">
        <v>114</v>
      </c>
      <c r="H38" s="30"/>
    </row>
    <row r="39" ht="30.0" customHeight="1">
      <c r="A39" s="19">
        <v>19.0</v>
      </c>
      <c r="B39" s="27" t="s">
        <v>111</v>
      </c>
      <c r="C39" s="21" t="s">
        <v>172</v>
      </c>
      <c r="D39" s="28" t="s">
        <v>173</v>
      </c>
      <c r="E39" s="29" t="s">
        <v>174</v>
      </c>
      <c r="F39" s="28" t="s">
        <v>7</v>
      </c>
      <c r="G39" s="19" t="s">
        <v>114</v>
      </c>
      <c r="H39" s="30"/>
    </row>
    <row r="40" ht="45.0" customHeight="1">
      <c r="A40" s="19">
        <v>20.0</v>
      </c>
      <c r="B40" s="27" t="s">
        <v>83</v>
      </c>
      <c r="C40" s="21" t="s">
        <v>178</v>
      </c>
      <c r="D40" s="28" t="s">
        <v>179</v>
      </c>
      <c r="E40" s="29" t="s">
        <v>180</v>
      </c>
      <c r="F40" s="28" t="s">
        <v>145</v>
      </c>
      <c r="G40" s="19" t="s">
        <v>88</v>
      </c>
      <c r="H40" s="30"/>
    </row>
    <row r="41" ht="30.0" customHeight="1">
      <c r="A41" s="19">
        <v>21.0</v>
      </c>
      <c r="B41" s="27" t="s">
        <v>122</v>
      </c>
      <c r="C41" s="21" t="s">
        <v>184</v>
      </c>
      <c r="D41" s="28" t="s">
        <v>185</v>
      </c>
      <c r="E41" s="29" t="s">
        <v>187</v>
      </c>
      <c r="F41" s="28" t="s">
        <v>145</v>
      </c>
      <c r="G41" s="19" t="s">
        <v>127</v>
      </c>
      <c r="H41" s="30"/>
    </row>
    <row r="42" ht="19.5" customHeight="1">
      <c r="A42" s="35"/>
      <c r="B42" s="35"/>
      <c r="C42" s="35"/>
      <c r="D42" s="35"/>
      <c r="E42" s="35"/>
      <c r="F42" s="35"/>
      <c r="G42" s="35"/>
      <c r="H42" s="36"/>
    </row>
    <row r="43" ht="19.5" customHeight="1">
      <c r="A43" s="35"/>
      <c r="B43" s="35"/>
      <c r="C43" s="35"/>
      <c r="D43" s="35"/>
      <c r="E43" s="35"/>
      <c r="F43" s="35"/>
      <c r="G43" s="35"/>
      <c r="H43" s="36"/>
    </row>
    <row r="44" ht="15.75" customHeight="1">
      <c r="A44" s="37" t="s">
        <v>194</v>
      </c>
      <c r="B44" s="13"/>
      <c r="C44" s="13"/>
      <c r="D44" s="10"/>
      <c r="E44" s="39">
        <f>COUNTIF(H20:H43,"Done")</f>
        <v>0</v>
      </c>
      <c r="F44" s="40" t="str">
        <f>"of 21 actions"</f>
        <v>of 21 actions</v>
      </c>
      <c r="G44" s="41" t="s">
        <v>22</v>
      </c>
      <c r="H44" s="42">
        <f>IFERROR($E44/21,0)</f>
        <v>0</v>
      </c>
    </row>
    <row r="45" ht="15.75" customHeight="1"/>
    <row r="46" ht="19.5" customHeight="1">
      <c r="A46" s="8" t="s">
        <v>216</v>
      </c>
      <c r="B46" s="3"/>
      <c r="C46" s="3"/>
      <c r="D46" s="3"/>
      <c r="E46" s="3"/>
      <c r="F46" s="3"/>
      <c r="G46" s="3"/>
      <c r="H46" s="4"/>
    </row>
    <row r="47" ht="15.0" customHeight="1">
      <c r="A47" s="19">
        <v>1.0</v>
      </c>
      <c r="B47" s="12" t="s">
        <v>218</v>
      </c>
      <c r="C47" s="13"/>
      <c r="D47" s="13"/>
      <c r="E47" s="13"/>
      <c r="F47" s="13"/>
      <c r="G47" s="13"/>
      <c r="H47" s="10"/>
    </row>
    <row r="48" ht="15.0" customHeight="1">
      <c r="A48" s="19">
        <v>2.0</v>
      </c>
      <c r="B48" s="12" t="s">
        <v>221</v>
      </c>
      <c r="C48" s="13"/>
      <c r="D48" s="13"/>
      <c r="E48" s="13"/>
      <c r="F48" s="13"/>
      <c r="G48" s="13"/>
      <c r="H48" s="10"/>
    </row>
    <row r="49" ht="15.0" customHeight="1">
      <c r="A49" s="19">
        <v>3.0</v>
      </c>
      <c r="B49" s="12" t="s">
        <v>223</v>
      </c>
      <c r="C49" s="13"/>
      <c r="D49" s="13"/>
      <c r="E49" s="13"/>
      <c r="F49" s="13"/>
      <c r="G49" s="13"/>
      <c r="H49" s="10"/>
    </row>
    <row r="50" ht="15.0" customHeight="1">
      <c r="A50" s="19">
        <v>4.0</v>
      </c>
      <c r="B50" s="12" t="s">
        <v>227</v>
      </c>
      <c r="C50" s="13"/>
      <c r="D50" s="13"/>
      <c r="E50" s="13"/>
      <c r="F50" s="13"/>
      <c r="G50" s="13"/>
      <c r="H50" s="10"/>
    </row>
    <row r="51" ht="15.0" customHeight="1">
      <c r="A51" s="19">
        <v>5.0</v>
      </c>
      <c r="B51" s="12" t="s">
        <v>230</v>
      </c>
      <c r="C51" s="13"/>
      <c r="D51" s="13"/>
      <c r="E51" s="13"/>
      <c r="F51" s="13"/>
      <c r="G51" s="13"/>
      <c r="H51" s="10"/>
    </row>
    <row r="52" ht="15.0" customHeight="1">
      <c r="A52" s="19">
        <v>6.0</v>
      </c>
      <c r="B52" s="12" t="s">
        <v>232</v>
      </c>
      <c r="C52" s="13"/>
      <c r="D52" s="13"/>
      <c r="E52" s="13"/>
      <c r="F52" s="13"/>
      <c r="G52" s="13"/>
      <c r="H52" s="10"/>
    </row>
    <row r="53" ht="15.0" customHeight="1">
      <c r="A53" s="19">
        <v>7.0</v>
      </c>
      <c r="B53" s="12" t="s">
        <v>237</v>
      </c>
      <c r="C53" s="13"/>
      <c r="D53" s="13"/>
      <c r="E53" s="13"/>
      <c r="F53" s="13"/>
      <c r="G53" s="13"/>
      <c r="H53" s="10"/>
    </row>
    <row r="54" ht="15.75" customHeight="1"/>
    <row r="55" ht="19.5" customHeight="1">
      <c r="A55" s="8" t="s">
        <v>240</v>
      </c>
      <c r="B55" s="3"/>
      <c r="C55" s="3"/>
      <c r="D55" s="3"/>
      <c r="E55" s="3"/>
      <c r="F55" s="3"/>
      <c r="G55" s="3"/>
      <c r="H55" s="4"/>
    </row>
    <row r="56" ht="15.0" customHeight="1">
      <c r="A56" s="19">
        <v>1.0</v>
      </c>
      <c r="B56" s="12" t="s">
        <v>247</v>
      </c>
      <c r="C56" s="13"/>
      <c r="D56" s="13"/>
      <c r="E56" s="13"/>
      <c r="F56" s="13"/>
      <c r="G56" s="13"/>
      <c r="H56" s="10"/>
    </row>
    <row r="57" ht="15.0" customHeight="1">
      <c r="A57" s="19">
        <v>2.0</v>
      </c>
      <c r="B57" s="12" t="s">
        <v>253</v>
      </c>
      <c r="C57" s="13"/>
      <c r="D57" s="13"/>
      <c r="E57" s="13"/>
      <c r="F57" s="13"/>
      <c r="G57" s="13"/>
      <c r="H57" s="10"/>
    </row>
    <row r="58" ht="15.0" customHeight="1">
      <c r="A58" s="19">
        <v>3.0</v>
      </c>
      <c r="B58" s="12" t="s">
        <v>259</v>
      </c>
      <c r="C58" s="13"/>
      <c r="D58" s="13"/>
      <c r="E58" s="13"/>
      <c r="F58" s="13"/>
      <c r="G58" s="13"/>
      <c r="H58" s="10"/>
    </row>
    <row r="59" ht="15.75" customHeight="1"/>
    <row r="60" ht="19.5" customHeight="1">
      <c r="A60" s="8" t="s">
        <v>269</v>
      </c>
      <c r="B60" s="3"/>
      <c r="C60" s="3"/>
      <c r="D60" s="3"/>
      <c r="E60" s="3"/>
      <c r="F60" s="3"/>
      <c r="G60" s="3"/>
      <c r="H60" s="4"/>
    </row>
    <row r="61" ht="30.0" customHeight="1">
      <c r="A61" s="12" t="s">
        <v>274</v>
      </c>
      <c r="B61" s="13"/>
      <c r="C61" s="13"/>
      <c r="D61" s="13"/>
      <c r="E61" s="13"/>
      <c r="F61" s="13"/>
      <c r="G61" s="13"/>
      <c r="H61" s="10"/>
    </row>
    <row r="62" ht="15.75" customHeight="1"/>
    <row r="63" ht="19.5" customHeight="1">
      <c r="A63" s="8" t="s">
        <v>281</v>
      </c>
      <c r="B63" s="3"/>
      <c r="C63" s="3"/>
      <c r="D63" s="3"/>
      <c r="E63" s="3"/>
      <c r="F63" s="3"/>
      <c r="G63" s="3"/>
      <c r="H63" s="4"/>
    </row>
    <row r="64" ht="19.5" customHeight="1">
      <c r="A64" s="16" t="s">
        <v>44</v>
      </c>
      <c r="B64" s="44" t="s">
        <v>288</v>
      </c>
      <c r="C64" s="13"/>
      <c r="D64" s="10"/>
      <c r="E64" s="44" t="s">
        <v>291</v>
      </c>
      <c r="F64" s="13"/>
      <c r="G64" s="13"/>
      <c r="H64" s="10"/>
    </row>
    <row r="65" ht="30.0" customHeight="1">
      <c r="A65" s="19">
        <v>1.0</v>
      </c>
      <c r="B65" s="12" t="s">
        <v>295</v>
      </c>
      <c r="C65" s="13"/>
      <c r="D65" s="10"/>
      <c r="E65" s="12" t="s">
        <v>299</v>
      </c>
      <c r="F65" s="13"/>
      <c r="G65" s="13"/>
      <c r="H65" s="10"/>
    </row>
    <row r="66" ht="30.0" customHeight="1">
      <c r="A66" s="19">
        <v>2.0</v>
      </c>
      <c r="B66" s="12" t="s">
        <v>302</v>
      </c>
      <c r="C66" s="13"/>
      <c r="D66" s="10"/>
      <c r="E66" s="12" t="s">
        <v>305</v>
      </c>
      <c r="F66" s="13"/>
      <c r="G66" s="13"/>
      <c r="H66" s="10"/>
    </row>
    <row r="67" ht="30.0" customHeight="1">
      <c r="A67" s="19">
        <v>3.0</v>
      </c>
      <c r="B67" s="12" t="s">
        <v>312</v>
      </c>
      <c r="C67" s="13"/>
      <c r="D67" s="10"/>
      <c r="E67" s="12" t="s">
        <v>315</v>
      </c>
      <c r="F67" s="13"/>
      <c r="G67" s="13"/>
      <c r="H67" s="10"/>
    </row>
    <row r="68" ht="15.75" customHeight="1"/>
    <row r="69" ht="19.5" customHeight="1">
      <c r="A69" s="8" t="s">
        <v>317</v>
      </c>
      <c r="B69" s="3"/>
      <c r="C69" s="3"/>
      <c r="D69" s="3"/>
      <c r="E69" s="3"/>
      <c r="F69" s="3"/>
      <c r="G69" s="3"/>
      <c r="H69" s="4"/>
    </row>
    <row r="70" ht="21.75" customHeight="1">
      <c r="A70" s="46" t="s">
        <v>322</v>
      </c>
      <c r="B70" s="13"/>
      <c r="C70" s="13"/>
      <c r="D70" s="13"/>
      <c r="E70" s="13"/>
      <c r="F70" s="13"/>
      <c r="G70" s="13"/>
      <c r="H70" s="10"/>
    </row>
    <row r="71" ht="19.5" customHeight="1">
      <c r="A71" s="16" t="s">
        <v>44</v>
      </c>
      <c r="B71" s="16" t="s">
        <v>330</v>
      </c>
      <c r="C71" s="44" t="s">
        <v>331</v>
      </c>
      <c r="D71" s="10"/>
      <c r="E71" s="44" t="s">
        <v>335</v>
      </c>
      <c r="F71" s="10"/>
      <c r="G71" s="44" t="s">
        <v>336</v>
      </c>
      <c r="H71" s="10"/>
    </row>
    <row r="72" ht="19.5" customHeight="1">
      <c r="A72" s="47">
        <v>1.0</v>
      </c>
      <c r="B72" s="48"/>
      <c r="C72" s="45"/>
      <c r="D72" s="10"/>
      <c r="E72" s="45"/>
      <c r="F72" s="10"/>
      <c r="G72" s="45"/>
      <c r="H72" s="10"/>
    </row>
    <row r="73" ht="19.5" customHeight="1">
      <c r="A73" s="47">
        <v>2.0</v>
      </c>
      <c r="B73" s="48"/>
      <c r="C73" s="45"/>
      <c r="D73" s="10"/>
      <c r="E73" s="45"/>
      <c r="F73" s="10"/>
      <c r="G73" s="45"/>
      <c r="H73" s="10"/>
    </row>
    <row r="74" ht="19.5" customHeight="1">
      <c r="A74" s="47">
        <v>3.0</v>
      </c>
      <c r="B74" s="48"/>
      <c r="C74" s="45"/>
      <c r="D74" s="10"/>
      <c r="E74" s="45"/>
      <c r="F74" s="10"/>
      <c r="G74" s="45"/>
      <c r="H74" s="10"/>
    </row>
    <row r="75" ht="19.5" customHeight="1">
      <c r="A75" s="47">
        <v>4.0</v>
      </c>
      <c r="B75" s="48"/>
      <c r="C75" s="45"/>
      <c r="D75" s="10"/>
      <c r="E75" s="45"/>
      <c r="F75" s="10"/>
      <c r="G75" s="45"/>
      <c r="H75" s="10"/>
    </row>
    <row r="76" ht="19.5" customHeight="1">
      <c r="A76" s="47">
        <v>5.0</v>
      </c>
      <c r="B76" s="48"/>
      <c r="C76" s="45"/>
      <c r="D76" s="10"/>
      <c r="E76" s="45"/>
      <c r="F76" s="10"/>
      <c r="G76" s="45"/>
      <c r="H76" s="10"/>
    </row>
    <row r="77" ht="19.5" customHeight="1">
      <c r="A77" s="47">
        <v>6.0</v>
      </c>
      <c r="B77" s="48"/>
      <c r="C77" s="45"/>
      <c r="D77" s="10"/>
      <c r="E77" s="45"/>
      <c r="F77" s="10"/>
      <c r="G77" s="45"/>
      <c r="H77" s="10"/>
    </row>
    <row r="78" ht="19.5" customHeight="1">
      <c r="A78" s="47">
        <v>7.0</v>
      </c>
      <c r="B78" s="48"/>
      <c r="C78" s="45"/>
      <c r="D78" s="10"/>
      <c r="E78" s="45"/>
      <c r="F78" s="10"/>
      <c r="G78" s="45"/>
      <c r="H78" s="10"/>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9">
    <mergeCell ref="E72:F72"/>
    <mergeCell ref="G72:H72"/>
    <mergeCell ref="E67:H67"/>
    <mergeCell ref="A69:H69"/>
    <mergeCell ref="A70:H70"/>
    <mergeCell ref="C71:D71"/>
    <mergeCell ref="E71:F71"/>
    <mergeCell ref="G71:H71"/>
    <mergeCell ref="C72:D72"/>
    <mergeCell ref="E75:F75"/>
    <mergeCell ref="G75:H75"/>
    <mergeCell ref="C73:D73"/>
    <mergeCell ref="E73:F73"/>
    <mergeCell ref="G73:H73"/>
    <mergeCell ref="C74:D74"/>
    <mergeCell ref="E74:F74"/>
    <mergeCell ref="G74:H74"/>
    <mergeCell ref="C75:D75"/>
    <mergeCell ref="A1:H1"/>
    <mergeCell ref="D2:E2"/>
    <mergeCell ref="G2:H2"/>
    <mergeCell ref="A3:H3"/>
    <mergeCell ref="A5:H5"/>
    <mergeCell ref="A6:H6"/>
    <mergeCell ref="A8:H8"/>
    <mergeCell ref="B9:H9"/>
    <mergeCell ref="B10:H10"/>
    <mergeCell ref="B11:H11"/>
    <mergeCell ref="B12:H12"/>
    <mergeCell ref="B13:H13"/>
    <mergeCell ref="B14:H14"/>
    <mergeCell ref="B15:H15"/>
    <mergeCell ref="A17:H17"/>
    <mergeCell ref="A19:F19"/>
    <mergeCell ref="G19:H19"/>
    <mergeCell ref="A31:F31"/>
    <mergeCell ref="G31:H31"/>
    <mergeCell ref="A44:D44"/>
    <mergeCell ref="A46:H46"/>
    <mergeCell ref="B47:H47"/>
    <mergeCell ref="B48:H48"/>
    <mergeCell ref="B49:H49"/>
    <mergeCell ref="B50:H50"/>
    <mergeCell ref="B51:H51"/>
    <mergeCell ref="B52:H52"/>
    <mergeCell ref="B53:H53"/>
    <mergeCell ref="A55:H55"/>
    <mergeCell ref="B56:H56"/>
    <mergeCell ref="B57:H57"/>
    <mergeCell ref="B58:H58"/>
    <mergeCell ref="A60:H60"/>
    <mergeCell ref="A61:H61"/>
    <mergeCell ref="A63:H63"/>
    <mergeCell ref="B64:D64"/>
    <mergeCell ref="E64:H64"/>
    <mergeCell ref="B65:D65"/>
    <mergeCell ref="E65:H65"/>
    <mergeCell ref="B66:D66"/>
    <mergeCell ref="E66:H66"/>
    <mergeCell ref="B67:D67"/>
    <mergeCell ref="E78:F78"/>
    <mergeCell ref="G78:H78"/>
    <mergeCell ref="C76:D76"/>
    <mergeCell ref="E76:F76"/>
    <mergeCell ref="G76:H76"/>
    <mergeCell ref="C77:D77"/>
    <mergeCell ref="E77:F77"/>
    <mergeCell ref="G77:H77"/>
    <mergeCell ref="C78:D78"/>
  </mergeCells>
  <dataValidations>
    <dataValidation type="list" allowBlank="1" sqref="G2">
      <formula1>"Not started,On track,At risk,Behind,Done"</formula1>
    </dataValidation>
    <dataValidation type="list" allowBlank="1" sqref="H20:H30 H32:H43">
      <formula1>"Not started,In progress,Done,Blocked"</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9.0"/>
    <col customWidth="1" min="3" max="3" width="56.0"/>
    <col customWidth="1" min="4" max="4" width="28.0"/>
    <col customWidth="1" min="5" max="5" width="48.0"/>
    <col customWidth="1" min="6" max="6" width="20.0"/>
    <col customWidth="1" min="7" max="7" width="11.0"/>
    <col customWidth="1" min="8" max="8" width="13.0"/>
    <col customWidth="1" min="9" max="26" width="8.71"/>
  </cols>
  <sheetData>
    <row r="1" ht="25.5" customHeight="1">
      <c r="A1" s="2" t="s">
        <v>48</v>
      </c>
      <c r="B1" s="3"/>
      <c r="C1" s="3"/>
      <c r="D1" s="3"/>
      <c r="E1" s="3"/>
      <c r="F1" s="3"/>
      <c r="G1" s="3"/>
      <c r="H1" s="4"/>
    </row>
    <row r="2">
      <c r="A2" s="5" t="s">
        <v>4</v>
      </c>
      <c r="B2" s="7">
        <v>0.28</v>
      </c>
      <c r="C2" s="5" t="s">
        <v>6</v>
      </c>
      <c r="D2" s="9" t="s">
        <v>72</v>
      </c>
      <c r="E2" s="10"/>
      <c r="F2" s="5" t="s">
        <v>9</v>
      </c>
      <c r="G2" s="14"/>
      <c r="H2" s="10"/>
    </row>
    <row r="3">
      <c r="A3" s="15" t="s">
        <v>15</v>
      </c>
    </row>
    <row r="5" ht="19.5" customHeight="1">
      <c r="A5" s="8" t="s">
        <v>16</v>
      </c>
      <c r="B5" s="3"/>
      <c r="C5" s="3"/>
      <c r="D5" s="3"/>
      <c r="E5" s="3"/>
      <c r="F5" s="3"/>
      <c r="G5" s="3"/>
      <c r="H5" s="4"/>
    </row>
    <row r="6" ht="60.0" customHeight="1">
      <c r="A6" s="12" t="s">
        <v>138</v>
      </c>
      <c r="B6" s="13"/>
      <c r="C6" s="13"/>
      <c r="D6" s="13"/>
      <c r="E6" s="13"/>
      <c r="F6" s="13"/>
      <c r="G6" s="13"/>
      <c r="H6" s="10"/>
    </row>
    <row r="8" ht="19.5" customHeight="1">
      <c r="A8" s="8" t="s">
        <v>25</v>
      </c>
      <c r="B8" s="3"/>
      <c r="C8" s="3"/>
      <c r="D8" s="3"/>
      <c r="E8" s="3"/>
      <c r="F8" s="3"/>
      <c r="G8" s="3"/>
      <c r="H8" s="4"/>
    </row>
    <row r="9" ht="15.0" customHeight="1">
      <c r="A9" s="19">
        <v>1.0</v>
      </c>
      <c r="B9" s="12" t="s">
        <v>163</v>
      </c>
      <c r="C9" s="13"/>
      <c r="D9" s="13"/>
      <c r="E9" s="13"/>
      <c r="F9" s="13"/>
      <c r="G9" s="13"/>
      <c r="H9" s="10"/>
    </row>
    <row r="10" ht="15.0" customHeight="1">
      <c r="A10" s="19">
        <v>2.0</v>
      </c>
      <c r="B10" s="12" t="s">
        <v>175</v>
      </c>
      <c r="C10" s="13"/>
      <c r="D10" s="13"/>
      <c r="E10" s="13"/>
      <c r="F10" s="13"/>
      <c r="G10" s="13"/>
      <c r="H10" s="10"/>
    </row>
    <row r="11" ht="15.0" customHeight="1">
      <c r="A11" s="19">
        <v>3.0</v>
      </c>
      <c r="B11" s="12" t="s">
        <v>181</v>
      </c>
      <c r="C11" s="13"/>
      <c r="D11" s="13"/>
      <c r="E11" s="13"/>
      <c r="F11" s="13"/>
      <c r="G11" s="13"/>
      <c r="H11" s="10"/>
    </row>
    <row r="12" ht="15.0" customHeight="1">
      <c r="A12" s="19">
        <v>4.0</v>
      </c>
      <c r="B12" s="12" t="s">
        <v>190</v>
      </c>
      <c r="C12" s="13"/>
      <c r="D12" s="13"/>
      <c r="E12" s="13"/>
      <c r="F12" s="13"/>
      <c r="G12" s="13"/>
      <c r="H12" s="10"/>
    </row>
    <row r="13" ht="15.0" customHeight="1">
      <c r="A13" s="19">
        <v>5.0</v>
      </c>
      <c r="B13" s="12" t="s">
        <v>193</v>
      </c>
      <c r="C13" s="13"/>
      <c r="D13" s="13"/>
      <c r="E13" s="13"/>
      <c r="F13" s="13"/>
      <c r="G13" s="13"/>
      <c r="H13" s="10"/>
    </row>
    <row r="14" ht="15.0" customHeight="1">
      <c r="A14" s="19">
        <v>6.0</v>
      </c>
      <c r="B14" s="12" t="s">
        <v>210</v>
      </c>
      <c r="C14" s="13"/>
      <c r="D14" s="13"/>
      <c r="E14" s="13"/>
      <c r="F14" s="13"/>
      <c r="G14" s="13"/>
      <c r="H14" s="10"/>
    </row>
    <row r="15" ht="15.0" customHeight="1">
      <c r="A15" s="19">
        <v>7.0</v>
      </c>
      <c r="B15" s="12" t="s">
        <v>214</v>
      </c>
      <c r="C15" s="13"/>
      <c r="D15" s="13"/>
      <c r="E15" s="13"/>
      <c r="F15" s="13"/>
      <c r="G15" s="13"/>
      <c r="H15" s="10"/>
    </row>
    <row r="17" ht="19.5" customHeight="1">
      <c r="A17" s="8" t="s">
        <v>42</v>
      </c>
      <c r="B17" s="3"/>
      <c r="C17" s="3"/>
      <c r="D17" s="3"/>
      <c r="E17" s="3"/>
      <c r="F17" s="3"/>
      <c r="G17" s="3"/>
      <c r="H17" s="4"/>
    </row>
    <row r="18" ht="27.75" customHeight="1">
      <c r="A18" s="16" t="s">
        <v>44</v>
      </c>
      <c r="B18" s="16" t="s">
        <v>45</v>
      </c>
      <c r="C18" s="16" t="s">
        <v>46</v>
      </c>
      <c r="D18" s="16" t="s">
        <v>47</v>
      </c>
      <c r="E18" s="16" t="s">
        <v>49</v>
      </c>
      <c r="F18" s="16" t="s">
        <v>6</v>
      </c>
      <c r="G18" s="16" t="s">
        <v>50</v>
      </c>
      <c r="H18" s="16" t="s">
        <v>9</v>
      </c>
    </row>
    <row r="19" ht="18.0" customHeight="1">
      <c r="A19" s="24" t="s">
        <v>219</v>
      </c>
      <c r="B19" s="13"/>
      <c r="C19" s="13"/>
      <c r="D19" s="13"/>
      <c r="E19" s="13"/>
      <c r="F19" s="10"/>
      <c r="G19" s="26">
        <v>0.11</v>
      </c>
      <c r="H19" s="10"/>
    </row>
    <row r="20" ht="30.0" customHeight="1">
      <c r="A20" s="19">
        <v>1.0</v>
      </c>
      <c r="B20" s="27" t="s">
        <v>55</v>
      </c>
      <c r="C20" s="21" t="s">
        <v>224</v>
      </c>
      <c r="D20" s="28" t="s">
        <v>225</v>
      </c>
      <c r="E20" s="29"/>
      <c r="F20" s="28" t="s">
        <v>228</v>
      </c>
      <c r="G20" s="19" t="s">
        <v>64</v>
      </c>
      <c r="H20" s="30"/>
    </row>
    <row r="21" ht="30.0" customHeight="1">
      <c r="A21" s="19">
        <v>2.0</v>
      </c>
      <c r="B21" s="27" t="s">
        <v>55</v>
      </c>
      <c r="C21" s="21" t="s">
        <v>234</v>
      </c>
      <c r="D21" s="28" t="s">
        <v>235</v>
      </c>
      <c r="E21" s="29" t="s">
        <v>239</v>
      </c>
      <c r="F21" s="28" t="s">
        <v>228</v>
      </c>
      <c r="G21" s="19" t="s">
        <v>64</v>
      </c>
      <c r="H21" s="30"/>
    </row>
    <row r="22" ht="30.0" customHeight="1">
      <c r="A22" s="19">
        <v>3.0</v>
      </c>
      <c r="B22" s="27" t="s">
        <v>55</v>
      </c>
      <c r="C22" s="21" t="s">
        <v>241</v>
      </c>
      <c r="D22" s="28" t="s">
        <v>243</v>
      </c>
      <c r="E22" s="29" t="s">
        <v>244</v>
      </c>
      <c r="F22" s="28" t="s">
        <v>228</v>
      </c>
      <c r="G22" s="19" t="s">
        <v>64</v>
      </c>
      <c r="H22" s="30"/>
    </row>
    <row r="23" ht="30.0" customHeight="1">
      <c r="A23" s="19">
        <v>4.0</v>
      </c>
      <c r="B23" s="27" t="s">
        <v>89</v>
      </c>
      <c r="C23" s="21" t="s">
        <v>248</v>
      </c>
      <c r="D23" s="28" t="s">
        <v>249</v>
      </c>
      <c r="E23" s="29" t="s">
        <v>250</v>
      </c>
      <c r="F23" s="28" t="s">
        <v>228</v>
      </c>
      <c r="G23" s="19" t="s">
        <v>95</v>
      </c>
      <c r="H23" s="30"/>
    </row>
    <row r="24" ht="30.0" customHeight="1">
      <c r="A24" s="19">
        <v>5.0</v>
      </c>
      <c r="B24" s="27" t="s">
        <v>89</v>
      </c>
      <c r="C24" s="21" t="s">
        <v>254</v>
      </c>
      <c r="D24" s="28" t="s">
        <v>255</v>
      </c>
      <c r="E24" s="29" t="s">
        <v>256</v>
      </c>
      <c r="F24" s="28" t="s">
        <v>228</v>
      </c>
      <c r="G24" s="19" t="s">
        <v>95</v>
      </c>
      <c r="H24" s="30"/>
    </row>
    <row r="25" ht="30.0" customHeight="1">
      <c r="A25" s="19">
        <v>6.0</v>
      </c>
      <c r="B25" s="27" t="s">
        <v>111</v>
      </c>
      <c r="C25" s="21" t="s">
        <v>260</v>
      </c>
      <c r="D25" s="28" t="s">
        <v>261</v>
      </c>
      <c r="E25" s="29"/>
      <c r="F25" s="28" t="s">
        <v>262</v>
      </c>
      <c r="G25" s="19" t="s">
        <v>114</v>
      </c>
      <c r="H25" s="30"/>
    </row>
    <row r="26" ht="30.0" customHeight="1">
      <c r="A26" s="19">
        <v>7.0</v>
      </c>
      <c r="B26" s="27" t="s">
        <v>111</v>
      </c>
      <c r="C26" s="21" t="s">
        <v>265</v>
      </c>
      <c r="D26" s="28" t="s">
        <v>266</v>
      </c>
      <c r="E26" s="29" t="s">
        <v>268</v>
      </c>
      <c r="F26" s="28" t="s">
        <v>228</v>
      </c>
      <c r="G26" s="19" t="s">
        <v>114</v>
      </c>
      <c r="H26" s="30"/>
    </row>
    <row r="27" ht="30.0" customHeight="1">
      <c r="A27" s="19">
        <v>8.0</v>
      </c>
      <c r="B27" s="27" t="s">
        <v>111</v>
      </c>
      <c r="C27" s="21" t="s">
        <v>270</v>
      </c>
      <c r="D27" s="28" t="s">
        <v>271</v>
      </c>
      <c r="E27" s="29" t="s">
        <v>272</v>
      </c>
      <c r="F27" s="28" t="s">
        <v>228</v>
      </c>
      <c r="G27" s="19" t="s">
        <v>114</v>
      </c>
      <c r="H27" s="30"/>
    </row>
    <row r="28" ht="30.0" customHeight="1">
      <c r="A28" s="19">
        <v>9.0</v>
      </c>
      <c r="B28" s="27" t="s">
        <v>83</v>
      </c>
      <c r="C28" s="21" t="s">
        <v>275</v>
      </c>
      <c r="D28" s="28" t="s">
        <v>276</v>
      </c>
      <c r="E28" s="29" t="s">
        <v>277</v>
      </c>
      <c r="F28" s="28" t="s">
        <v>228</v>
      </c>
      <c r="G28" s="19" t="s">
        <v>278</v>
      </c>
      <c r="H28" s="30"/>
    </row>
    <row r="29" ht="30.0" customHeight="1">
      <c r="A29" s="19">
        <v>10.0</v>
      </c>
      <c r="B29" s="27" t="s">
        <v>122</v>
      </c>
      <c r="C29" s="21" t="s">
        <v>282</v>
      </c>
      <c r="D29" s="28" t="s">
        <v>283</v>
      </c>
      <c r="E29" s="29"/>
      <c r="F29" s="28" t="s">
        <v>228</v>
      </c>
      <c r="G29" s="19" t="s">
        <v>127</v>
      </c>
      <c r="H29" s="30"/>
    </row>
    <row r="30" ht="18.0" customHeight="1">
      <c r="A30" s="24" t="s">
        <v>286</v>
      </c>
      <c r="B30" s="13"/>
      <c r="C30" s="13"/>
      <c r="D30" s="13"/>
      <c r="E30" s="13"/>
      <c r="F30" s="10"/>
      <c r="G30" s="26">
        <v>0.17</v>
      </c>
      <c r="H30" s="10"/>
    </row>
    <row r="31" ht="30.0" customHeight="1">
      <c r="A31" s="19">
        <v>11.0</v>
      </c>
      <c r="B31" s="27" t="s">
        <v>55</v>
      </c>
      <c r="C31" s="21" t="s">
        <v>296</v>
      </c>
      <c r="D31" s="28" t="s">
        <v>297</v>
      </c>
      <c r="E31" s="29" t="s">
        <v>298</v>
      </c>
      <c r="F31" s="28" t="s">
        <v>7</v>
      </c>
      <c r="G31" s="19" t="s">
        <v>64</v>
      </c>
      <c r="H31" s="30"/>
    </row>
    <row r="32" ht="30.0" customHeight="1">
      <c r="A32" s="19">
        <v>12.0</v>
      </c>
      <c r="B32" s="27" t="s">
        <v>55</v>
      </c>
      <c r="C32" s="21" t="s">
        <v>301</v>
      </c>
      <c r="D32" s="28" t="s">
        <v>303</v>
      </c>
      <c r="E32" s="29" t="s">
        <v>304</v>
      </c>
      <c r="F32" s="28" t="s">
        <v>7</v>
      </c>
      <c r="G32" s="19" t="s">
        <v>64</v>
      </c>
      <c r="H32" s="30"/>
    </row>
    <row r="33" ht="30.0" customHeight="1">
      <c r="A33" s="19">
        <v>13.0</v>
      </c>
      <c r="B33" s="27" t="s">
        <v>89</v>
      </c>
      <c r="C33" s="21" t="s">
        <v>307</v>
      </c>
      <c r="D33" s="28" t="s">
        <v>308</v>
      </c>
      <c r="E33" s="29" t="s">
        <v>310</v>
      </c>
      <c r="F33" s="28" t="s">
        <v>7</v>
      </c>
      <c r="G33" s="19" t="s">
        <v>95</v>
      </c>
      <c r="H33" s="30"/>
    </row>
    <row r="34" ht="30.0" customHeight="1">
      <c r="A34" s="19">
        <v>14.0</v>
      </c>
      <c r="B34" s="27" t="s">
        <v>89</v>
      </c>
      <c r="C34" s="21" t="s">
        <v>313</v>
      </c>
      <c r="D34" s="28" t="s">
        <v>314</v>
      </c>
      <c r="E34" s="29" t="s">
        <v>316</v>
      </c>
      <c r="F34" s="28" t="s">
        <v>7</v>
      </c>
      <c r="G34" s="19" t="s">
        <v>95</v>
      </c>
      <c r="H34" s="30"/>
    </row>
    <row r="35" ht="30.0" customHeight="1">
      <c r="A35" s="19">
        <v>15.0</v>
      </c>
      <c r="B35" s="27" t="s">
        <v>111</v>
      </c>
      <c r="C35" s="21" t="s">
        <v>318</v>
      </c>
      <c r="D35" s="28" t="s">
        <v>319</v>
      </c>
      <c r="E35" s="29" t="s">
        <v>321</v>
      </c>
      <c r="F35" s="28" t="s">
        <v>7</v>
      </c>
      <c r="G35" s="19" t="s">
        <v>114</v>
      </c>
      <c r="H35" s="30"/>
    </row>
    <row r="36" ht="30.0" customHeight="1">
      <c r="A36" s="19">
        <v>16.0</v>
      </c>
      <c r="B36" s="27" t="s">
        <v>111</v>
      </c>
      <c r="C36" s="21" t="s">
        <v>323</v>
      </c>
      <c r="D36" s="28" t="s">
        <v>324</v>
      </c>
      <c r="E36" s="29" t="s">
        <v>325</v>
      </c>
      <c r="F36" s="28" t="s">
        <v>326</v>
      </c>
      <c r="G36" s="19" t="s">
        <v>114</v>
      </c>
      <c r="H36" s="30"/>
    </row>
    <row r="37" ht="30.0" customHeight="1">
      <c r="A37" s="19">
        <v>17.0</v>
      </c>
      <c r="B37" s="27" t="s">
        <v>122</v>
      </c>
      <c r="C37" s="21" t="s">
        <v>327</v>
      </c>
      <c r="D37" s="28" t="s">
        <v>328</v>
      </c>
      <c r="E37" s="29" t="s">
        <v>329</v>
      </c>
      <c r="F37" s="28" t="s">
        <v>7</v>
      </c>
      <c r="G37" s="19" t="s">
        <v>127</v>
      </c>
      <c r="H37" s="30"/>
    </row>
    <row r="38" ht="30.0" customHeight="1">
      <c r="A38" s="19">
        <v>18.0</v>
      </c>
      <c r="B38" s="27" t="s">
        <v>122</v>
      </c>
      <c r="C38" s="21" t="s">
        <v>332</v>
      </c>
      <c r="D38" s="28" t="s">
        <v>333</v>
      </c>
      <c r="E38" s="29" t="s">
        <v>334</v>
      </c>
      <c r="F38" s="28" t="s">
        <v>7</v>
      </c>
      <c r="G38" s="19" t="s">
        <v>127</v>
      </c>
      <c r="H38" s="30"/>
    </row>
    <row r="39" ht="19.5" customHeight="1">
      <c r="A39" s="35"/>
      <c r="B39" s="35"/>
      <c r="C39" s="35"/>
      <c r="D39" s="35"/>
      <c r="E39" s="35"/>
      <c r="F39" s="35"/>
      <c r="G39" s="35"/>
      <c r="H39" s="36"/>
    </row>
    <row r="40" ht="19.5" customHeight="1">
      <c r="A40" s="35"/>
      <c r="B40" s="35"/>
      <c r="C40" s="35"/>
      <c r="D40" s="35"/>
      <c r="E40" s="35"/>
      <c r="F40" s="35"/>
      <c r="G40" s="35"/>
      <c r="H40" s="36"/>
    </row>
    <row r="41" ht="15.75" customHeight="1">
      <c r="A41" s="37" t="s">
        <v>194</v>
      </c>
      <c r="B41" s="13"/>
      <c r="C41" s="13"/>
      <c r="D41" s="10"/>
      <c r="E41" s="39">
        <f>COUNTIF(H20:H40,"Done")</f>
        <v>0</v>
      </c>
      <c r="F41" s="40" t="str">
        <f>"of 18 actions"</f>
        <v>of 18 actions</v>
      </c>
      <c r="G41" s="41" t="s">
        <v>22</v>
      </c>
      <c r="H41" s="42">
        <f>IFERROR($E41/18,0)</f>
        <v>0</v>
      </c>
    </row>
    <row r="42" ht="15.75" customHeight="1"/>
    <row r="43" ht="19.5" customHeight="1">
      <c r="A43" s="8" t="s">
        <v>343</v>
      </c>
      <c r="B43" s="3"/>
      <c r="C43" s="3"/>
      <c r="D43" s="3"/>
      <c r="E43" s="3"/>
      <c r="F43" s="3"/>
      <c r="G43" s="3"/>
      <c r="H43" s="4"/>
    </row>
    <row r="44" ht="25.5" customHeight="1">
      <c r="A44" s="16" t="s">
        <v>44</v>
      </c>
      <c r="B44" s="44" t="s">
        <v>344</v>
      </c>
      <c r="C44" s="10"/>
      <c r="D44" s="16" t="s">
        <v>345</v>
      </c>
      <c r="E44" s="16" t="s">
        <v>346</v>
      </c>
      <c r="F44" s="16" t="s">
        <v>347</v>
      </c>
      <c r="G44" s="16" t="s">
        <v>348</v>
      </c>
      <c r="H44" s="16" t="s">
        <v>349</v>
      </c>
    </row>
    <row r="45" ht="15.75" customHeight="1">
      <c r="A45" s="19">
        <v>1.0</v>
      </c>
      <c r="B45" s="9" t="s">
        <v>350</v>
      </c>
      <c r="C45" s="10"/>
      <c r="D45" s="49">
        <v>3.17</v>
      </c>
      <c r="E45" s="50">
        <v>3.0</v>
      </c>
      <c r="F45" s="50">
        <v>4.0</v>
      </c>
      <c r="G45" s="51" t="s">
        <v>24</v>
      </c>
      <c r="H45" s="52">
        <v>3.6</v>
      </c>
    </row>
    <row r="46" ht="15.75" customHeight="1">
      <c r="A46" s="19">
        <v>2.0</v>
      </c>
      <c r="B46" s="9" t="s">
        <v>351</v>
      </c>
      <c r="C46" s="10"/>
      <c r="D46" s="49">
        <v>3.31</v>
      </c>
      <c r="E46" s="50">
        <v>3.0</v>
      </c>
      <c r="F46" s="50">
        <v>4.0</v>
      </c>
      <c r="G46" s="51" t="s">
        <v>352</v>
      </c>
      <c r="H46" s="52">
        <v>3.6</v>
      </c>
    </row>
    <row r="47" ht="15.75" customHeight="1">
      <c r="A47" s="19">
        <v>3.0</v>
      </c>
      <c r="B47" s="9" t="s">
        <v>353</v>
      </c>
      <c r="C47" s="10"/>
      <c r="D47" s="49">
        <v>3.89</v>
      </c>
      <c r="E47" s="50">
        <v>3.0</v>
      </c>
      <c r="F47" s="50">
        <v>4.0</v>
      </c>
      <c r="G47" s="51" t="s">
        <v>53</v>
      </c>
      <c r="H47" s="52">
        <v>4.0</v>
      </c>
    </row>
    <row r="48" ht="15.75" customHeight="1">
      <c r="A48" s="19">
        <v>4.0</v>
      </c>
      <c r="B48" s="9" t="s">
        <v>354</v>
      </c>
      <c r="C48" s="10"/>
      <c r="D48" s="49">
        <v>3.38</v>
      </c>
      <c r="E48" s="50">
        <v>3.0</v>
      </c>
      <c r="F48" s="50">
        <v>4.0</v>
      </c>
      <c r="G48" s="51" t="s">
        <v>355</v>
      </c>
      <c r="H48" s="52">
        <v>3.8</v>
      </c>
    </row>
    <row r="49" ht="15.75" customHeight="1">
      <c r="A49" s="19">
        <v>5.0</v>
      </c>
      <c r="B49" s="53" t="s">
        <v>356</v>
      </c>
      <c r="C49" s="10"/>
      <c r="D49" s="54">
        <v>2.0</v>
      </c>
      <c r="E49" s="50">
        <v>3.0</v>
      </c>
      <c r="F49" s="50">
        <v>4.0</v>
      </c>
      <c r="G49" s="51" t="s">
        <v>67</v>
      </c>
      <c r="H49" s="52">
        <v>3.2</v>
      </c>
    </row>
    <row r="50" ht="15.75" customHeight="1">
      <c r="A50" s="19">
        <v>6.0</v>
      </c>
      <c r="B50" s="9" t="s">
        <v>357</v>
      </c>
      <c r="C50" s="10"/>
      <c r="D50" s="49">
        <v>2.0</v>
      </c>
      <c r="E50" s="50">
        <v>2.0</v>
      </c>
      <c r="F50" s="50">
        <v>3.0</v>
      </c>
      <c r="G50" s="51" t="s">
        <v>24</v>
      </c>
      <c r="H50" s="52">
        <v>2.6</v>
      </c>
    </row>
    <row r="51" ht="15.75" customHeight="1">
      <c r="A51" s="46" t="s">
        <v>358</v>
      </c>
      <c r="B51" s="13"/>
      <c r="C51" s="13"/>
      <c r="D51" s="13"/>
      <c r="E51" s="13"/>
      <c r="F51" s="13"/>
      <c r="G51" s="13"/>
      <c r="H51" s="10"/>
    </row>
    <row r="52" ht="15.75" customHeight="1"/>
    <row r="53" ht="19.5" customHeight="1">
      <c r="A53" s="8" t="s">
        <v>359</v>
      </c>
      <c r="B53" s="3"/>
      <c r="C53" s="3"/>
      <c r="D53" s="3"/>
      <c r="E53" s="3"/>
      <c r="F53" s="3"/>
      <c r="G53" s="3"/>
      <c r="H53" s="4"/>
    </row>
    <row r="54" ht="15.0" customHeight="1">
      <c r="A54" s="19">
        <v>1.0</v>
      </c>
      <c r="B54" s="12" t="s">
        <v>360</v>
      </c>
      <c r="C54" s="13"/>
      <c r="D54" s="13"/>
      <c r="E54" s="13"/>
      <c r="F54" s="13"/>
      <c r="G54" s="13"/>
      <c r="H54" s="10"/>
    </row>
    <row r="55" ht="15.0" customHeight="1">
      <c r="A55" s="19">
        <v>2.0</v>
      </c>
      <c r="B55" s="12" t="s">
        <v>361</v>
      </c>
      <c r="C55" s="13"/>
      <c r="D55" s="13"/>
      <c r="E55" s="13"/>
      <c r="F55" s="13"/>
      <c r="G55" s="13"/>
      <c r="H55" s="10"/>
    </row>
    <row r="56" ht="15.0" customHeight="1">
      <c r="A56" s="19">
        <v>3.0</v>
      </c>
      <c r="B56" s="12" t="s">
        <v>362</v>
      </c>
      <c r="C56" s="13"/>
      <c r="D56" s="13"/>
      <c r="E56" s="13"/>
      <c r="F56" s="13"/>
      <c r="G56" s="13"/>
      <c r="H56" s="10"/>
    </row>
    <row r="57" ht="30.0" customHeight="1">
      <c r="A57" s="19">
        <v>4.0</v>
      </c>
      <c r="B57" s="12" t="s">
        <v>363</v>
      </c>
      <c r="C57" s="13"/>
      <c r="D57" s="13"/>
      <c r="E57" s="13"/>
      <c r="F57" s="13"/>
      <c r="G57" s="13"/>
      <c r="H57" s="10"/>
    </row>
    <row r="58" ht="15.0" customHeight="1">
      <c r="A58" s="19">
        <v>5.0</v>
      </c>
      <c r="B58" s="12" t="s">
        <v>364</v>
      </c>
      <c r="C58" s="13"/>
      <c r="D58" s="13"/>
      <c r="E58" s="13"/>
      <c r="F58" s="13"/>
      <c r="G58" s="13"/>
      <c r="H58" s="10"/>
    </row>
    <row r="59" ht="15.0" customHeight="1">
      <c r="A59" s="19">
        <v>6.0</v>
      </c>
      <c r="B59" s="12" t="s">
        <v>365</v>
      </c>
      <c r="C59" s="13"/>
      <c r="D59" s="13"/>
      <c r="E59" s="13"/>
      <c r="F59" s="13"/>
      <c r="G59" s="13"/>
      <c r="H59" s="10"/>
    </row>
    <row r="60" ht="15.0" customHeight="1">
      <c r="A60" s="19">
        <v>7.0</v>
      </c>
      <c r="B60" s="12" t="s">
        <v>366</v>
      </c>
      <c r="C60" s="13"/>
      <c r="D60" s="13"/>
      <c r="E60" s="13"/>
      <c r="F60" s="13"/>
      <c r="G60" s="13"/>
      <c r="H60" s="10"/>
    </row>
    <row r="61" ht="15.75" customHeight="1"/>
    <row r="62" ht="19.5" customHeight="1">
      <c r="A62" s="8" t="s">
        <v>367</v>
      </c>
      <c r="B62" s="3"/>
      <c r="C62" s="3"/>
      <c r="D62" s="3"/>
      <c r="E62" s="3"/>
      <c r="F62" s="3"/>
      <c r="G62" s="3"/>
      <c r="H62" s="4"/>
    </row>
    <row r="63" ht="15.0" customHeight="1">
      <c r="A63" s="19">
        <v>1.0</v>
      </c>
      <c r="B63" s="12" t="s">
        <v>368</v>
      </c>
      <c r="C63" s="13"/>
      <c r="D63" s="13"/>
      <c r="E63" s="13"/>
      <c r="F63" s="13"/>
      <c r="G63" s="13"/>
      <c r="H63" s="10"/>
    </row>
    <row r="64" ht="15.0" customHeight="1">
      <c r="A64" s="19">
        <v>2.0</v>
      </c>
      <c r="B64" s="12" t="s">
        <v>369</v>
      </c>
      <c r="C64" s="13"/>
      <c r="D64" s="13"/>
      <c r="E64" s="13"/>
      <c r="F64" s="13"/>
      <c r="G64" s="13"/>
      <c r="H64" s="10"/>
    </row>
    <row r="65" ht="15.0" customHeight="1">
      <c r="A65" s="19">
        <v>3.0</v>
      </c>
      <c r="B65" s="12" t="s">
        <v>370</v>
      </c>
      <c r="C65" s="13"/>
      <c r="D65" s="13"/>
      <c r="E65" s="13"/>
      <c r="F65" s="13"/>
      <c r="G65" s="13"/>
      <c r="H65" s="10"/>
    </row>
    <row r="66" ht="15.75" customHeight="1"/>
    <row r="67" ht="19.5" customHeight="1">
      <c r="A67" s="8" t="s">
        <v>371</v>
      </c>
      <c r="B67" s="3"/>
      <c r="C67" s="3"/>
      <c r="D67" s="3"/>
      <c r="E67" s="3"/>
      <c r="F67" s="3"/>
      <c r="G67" s="3"/>
      <c r="H67" s="4"/>
    </row>
    <row r="68" ht="30.0" customHeight="1">
      <c r="A68" s="12" t="s">
        <v>372</v>
      </c>
      <c r="B68" s="13"/>
      <c r="C68" s="13"/>
      <c r="D68" s="13"/>
      <c r="E68" s="13"/>
      <c r="F68" s="13"/>
      <c r="G68" s="13"/>
      <c r="H68" s="10"/>
    </row>
    <row r="69" ht="15.75" customHeight="1"/>
    <row r="70" ht="19.5" customHeight="1">
      <c r="A70" s="8" t="s">
        <v>373</v>
      </c>
      <c r="B70" s="3"/>
      <c r="C70" s="3"/>
      <c r="D70" s="3"/>
      <c r="E70" s="3"/>
      <c r="F70" s="3"/>
      <c r="G70" s="3"/>
      <c r="H70" s="4"/>
    </row>
    <row r="71" ht="19.5" customHeight="1">
      <c r="A71" s="16" t="s">
        <v>44</v>
      </c>
      <c r="B71" s="44" t="s">
        <v>288</v>
      </c>
      <c r="C71" s="13"/>
      <c r="D71" s="10"/>
      <c r="E71" s="44" t="s">
        <v>291</v>
      </c>
      <c r="F71" s="13"/>
      <c r="G71" s="13"/>
      <c r="H71" s="10"/>
    </row>
    <row r="72" ht="30.0" customHeight="1">
      <c r="A72" s="19">
        <v>1.0</v>
      </c>
      <c r="B72" s="12" t="s">
        <v>375</v>
      </c>
      <c r="C72" s="13"/>
      <c r="D72" s="10"/>
      <c r="E72" s="12" t="s">
        <v>376</v>
      </c>
      <c r="F72" s="13"/>
      <c r="G72" s="13"/>
      <c r="H72" s="10"/>
    </row>
    <row r="73" ht="30.0" customHeight="1">
      <c r="A73" s="19">
        <v>2.0</v>
      </c>
      <c r="B73" s="12" t="s">
        <v>377</v>
      </c>
      <c r="C73" s="13"/>
      <c r="D73" s="10"/>
      <c r="E73" s="12" t="s">
        <v>378</v>
      </c>
      <c r="F73" s="13"/>
      <c r="G73" s="13"/>
      <c r="H73" s="10"/>
    </row>
    <row r="74" ht="30.0" customHeight="1">
      <c r="A74" s="19">
        <v>3.0</v>
      </c>
      <c r="B74" s="12" t="s">
        <v>379</v>
      </c>
      <c r="C74" s="13"/>
      <c r="D74" s="10"/>
      <c r="E74" s="12" t="s">
        <v>380</v>
      </c>
      <c r="F74" s="13"/>
      <c r="G74" s="13"/>
      <c r="H74" s="10"/>
    </row>
    <row r="75" ht="15.75" customHeight="1"/>
    <row r="76" ht="19.5" customHeight="1">
      <c r="A76" s="8" t="s">
        <v>381</v>
      </c>
      <c r="B76" s="3"/>
      <c r="C76" s="3"/>
      <c r="D76" s="3"/>
      <c r="E76" s="3"/>
      <c r="F76" s="3"/>
      <c r="G76" s="3"/>
      <c r="H76" s="4"/>
    </row>
    <row r="77" ht="21.75" customHeight="1">
      <c r="A77" s="46" t="s">
        <v>322</v>
      </c>
      <c r="B77" s="13"/>
      <c r="C77" s="13"/>
      <c r="D77" s="13"/>
      <c r="E77" s="13"/>
      <c r="F77" s="13"/>
      <c r="G77" s="13"/>
      <c r="H77" s="10"/>
    </row>
    <row r="78" ht="19.5" customHeight="1">
      <c r="A78" s="16" t="s">
        <v>44</v>
      </c>
      <c r="B78" s="16" t="s">
        <v>330</v>
      </c>
      <c r="C78" s="44" t="s">
        <v>331</v>
      </c>
      <c r="D78" s="10"/>
      <c r="E78" s="44" t="s">
        <v>335</v>
      </c>
      <c r="F78" s="10"/>
      <c r="G78" s="44" t="s">
        <v>336</v>
      </c>
      <c r="H78" s="10"/>
    </row>
    <row r="79" ht="19.5" customHeight="1">
      <c r="A79" s="47">
        <v>1.0</v>
      </c>
      <c r="B79" s="48"/>
      <c r="C79" s="45"/>
      <c r="D79" s="10"/>
      <c r="E79" s="45"/>
      <c r="F79" s="10"/>
      <c r="G79" s="45"/>
      <c r="H79" s="10"/>
    </row>
    <row r="80" ht="19.5" customHeight="1">
      <c r="A80" s="47">
        <v>2.0</v>
      </c>
      <c r="B80" s="48"/>
      <c r="C80" s="45"/>
      <c r="D80" s="10"/>
      <c r="E80" s="45"/>
      <c r="F80" s="10"/>
      <c r="G80" s="45"/>
      <c r="H80" s="10"/>
    </row>
    <row r="81" ht="19.5" customHeight="1">
      <c r="A81" s="47">
        <v>3.0</v>
      </c>
      <c r="B81" s="48"/>
      <c r="C81" s="45"/>
      <c r="D81" s="10"/>
      <c r="E81" s="45"/>
      <c r="F81" s="10"/>
      <c r="G81" s="45"/>
      <c r="H81" s="10"/>
    </row>
    <row r="82" ht="19.5" customHeight="1">
      <c r="A82" s="47">
        <v>4.0</v>
      </c>
      <c r="B82" s="48"/>
      <c r="C82" s="45"/>
      <c r="D82" s="10"/>
      <c r="E82" s="45"/>
      <c r="F82" s="10"/>
      <c r="G82" s="45"/>
      <c r="H82" s="10"/>
    </row>
    <row r="83" ht="19.5" customHeight="1">
      <c r="A83" s="47">
        <v>5.0</v>
      </c>
      <c r="B83" s="48"/>
      <c r="C83" s="45"/>
      <c r="D83" s="10"/>
      <c r="E83" s="45"/>
      <c r="F83" s="10"/>
      <c r="G83" s="45"/>
      <c r="H83" s="10"/>
    </row>
    <row r="84" ht="19.5" customHeight="1">
      <c r="A84" s="47">
        <v>6.0</v>
      </c>
      <c r="B84" s="48"/>
      <c r="C84" s="45"/>
      <c r="D84" s="10"/>
      <c r="E84" s="45"/>
      <c r="F84" s="10"/>
      <c r="G84" s="45"/>
      <c r="H84" s="10"/>
    </row>
    <row r="85" ht="19.5" customHeight="1">
      <c r="A85" s="47">
        <v>7.0</v>
      </c>
      <c r="B85" s="48"/>
      <c r="C85" s="45"/>
      <c r="D85" s="10"/>
      <c r="E85" s="45"/>
      <c r="F85" s="10"/>
      <c r="G85" s="45"/>
      <c r="H85" s="10"/>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A68:H68"/>
    <mergeCell ref="A70:H70"/>
    <mergeCell ref="B71:D71"/>
    <mergeCell ref="E71:H71"/>
    <mergeCell ref="B72:D72"/>
    <mergeCell ref="E72:H72"/>
    <mergeCell ref="E73:H73"/>
    <mergeCell ref="E79:F79"/>
    <mergeCell ref="G79:H79"/>
    <mergeCell ref="E74:H74"/>
    <mergeCell ref="A76:H76"/>
    <mergeCell ref="A77:H77"/>
    <mergeCell ref="C78:D78"/>
    <mergeCell ref="E78:F78"/>
    <mergeCell ref="G78:H78"/>
    <mergeCell ref="C79:D79"/>
    <mergeCell ref="E82:F82"/>
    <mergeCell ref="G82:H82"/>
    <mergeCell ref="C80:D80"/>
    <mergeCell ref="E80:F80"/>
    <mergeCell ref="G80:H80"/>
    <mergeCell ref="C81:D81"/>
    <mergeCell ref="E81:F81"/>
    <mergeCell ref="G81:H81"/>
    <mergeCell ref="C82:D82"/>
    <mergeCell ref="E85:F85"/>
    <mergeCell ref="G85:H85"/>
    <mergeCell ref="C83:D83"/>
    <mergeCell ref="E83:F83"/>
    <mergeCell ref="G83:H83"/>
    <mergeCell ref="C84:D84"/>
    <mergeCell ref="E84:F84"/>
    <mergeCell ref="G84:H84"/>
    <mergeCell ref="C85:D85"/>
    <mergeCell ref="A1:H1"/>
    <mergeCell ref="D2:E2"/>
    <mergeCell ref="G2:H2"/>
    <mergeCell ref="A3:H3"/>
    <mergeCell ref="A5:H5"/>
    <mergeCell ref="A6:H6"/>
    <mergeCell ref="A8:H8"/>
    <mergeCell ref="B9:H9"/>
    <mergeCell ref="B10:H10"/>
    <mergeCell ref="B11:H11"/>
    <mergeCell ref="B12:H12"/>
    <mergeCell ref="B13:H13"/>
    <mergeCell ref="B14:H14"/>
    <mergeCell ref="B15:H15"/>
    <mergeCell ref="A17:H17"/>
    <mergeCell ref="A19:F19"/>
    <mergeCell ref="G19:H19"/>
    <mergeCell ref="A30:F30"/>
    <mergeCell ref="G30:H30"/>
    <mergeCell ref="A41:D41"/>
    <mergeCell ref="A43:H43"/>
    <mergeCell ref="B44:C44"/>
    <mergeCell ref="B45:C45"/>
    <mergeCell ref="B46:C46"/>
    <mergeCell ref="B47:C47"/>
    <mergeCell ref="B48:C48"/>
    <mergeCell ref="B49:C49"/>
    <mergeCell ref="B50:C50"/>
    <mergeCell ref="A51:H51"/>
    <mergeCell ref="A53:H53"/>
    <mergeCell ref="B54:H54"/>
    <mergeCell ref="B55:H55"/>
    <mergeCell ref="B56:H56"/>
    <mergeCell ref="B57:H57"/>
    <mergeCell ref="B58:H58"/>
    <mergeCell ref="B59:H59"/>
    <mergeCell ref="B60:H60"/>
    <mergeCell ref="A62:H62"/>
    <mergeCell ref="B63:H63"/>
    <mergeCell ref="B64:H64"/>
    <mergeCell ref="B65:H65"/>
    <mergeCell ref="A67:H67"/>
    <mergeCell ref="B73:D73"/>
    <mergeCell ref="B74:D74"/>
  </mergeCells>
  <dataValidations>
    <dataValidation type="list" allowBlank="1" sqref="G2">
      <formula1>"Not started,On track,At risk,Behind,Done"</formula1>
    </dataValidation>
    <dataValidation type="list" allowBlank="1" sqref="H20:H29 H31:H40">
      <formula1>"Not started,In progress,Done,Blocked"</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9.0"/>
    <col customWidth="1" min="3" max="3" width="56.0"/>
    <col customWidth="1" min="4" max="4" width="28.0"/>
    <col customWidth="1" min="5" max="5" width="48.0"/>
    <col customWidth="1" min="6" max="6" width="20.0"/>
    <col customWidth="1" min="7" max="7" width="11.0"/>
    <col customWidth="1" min="8" max="8" width="13.0"/>
    <col customWidth="1" min="9" max="26" width="8.71"/>
  </cols>
  <sheetData>
    <row r="1" ht="25.5" customHeight="1">
      <c r="A1" s="2" t="s">
        <v>374</v>
      </c>
      <c r="B1" s="3"/>
      <c r="C1" s="3"/>
      <c r="D1" s="3"/>
      <c r="E1" s="3"/>
      <c r="F1" s="3"/>
      <c r="G1" s="3"/>
      <c r="H1" s="4"/>
    </row>
    <row r="2">
      <c r="A2" s="5" t="s">
        <v>4</v>
      </c>
      <c r="B2" s="7">
        <v>0.08</v>
      </c>
      <c r="C2" s="5" t="s">
        <v>6</v>
      </c>
      <c r="D2" s="9" t="s">
        <v>110</v>
      </c>
      <c r="E2" s="10"/>
      <c r="F2" s="5" t="s">
        <v>9</v>
      </c>
      <c r="G2" s="14"/>
      <c r="H2" s="10"/>
    </row>
    <row r="3">
      <c r="A3" s="15" t="s">
        <v>15</v>
      </c>
    </row>
    <row r="5" ht="19.5" customHeight="1">
      <c r="A5" s="8" t="s">
        <v>16</v>
      </c>
      <c r="B5" s="3"/>
      <c r="C5" s="3"/>
      <c r="D5" s="3"/>
      <c r="E5" s="3"/>
      <c r="F5" s="3"/>
      <c r="G5" s="3"/>
      <c r="H5" s="4"/>
    </row>
    <row r="6" ht="60.0" customHeight="1">
      <c r="A6" s="12" t="s">
        <v>382</v>
      </c>
      <c r="B6" s="13"/>
      <c r="C6" s="13"/>
      <c r="D6" s="13"/>
      <c r="E6" s="13"/>
      <c r="F6" s="13"/>
      <c r="G6" s="13"/>
      <c r="H6" s="10"/>
    </row>
    <row r="8" ht="19.5" customHeight="1">
      <c r="A8" s="8" t="s">
        <v>25</v>
      </c>
      <c r="B8" s="3"/>
      <c r="C8" s="3"/>
      <c r="D8" s="3"/>
      <c r="E8" s="3"/>
      <c r="F8" s="3"/>
      <c r="G8" s="3"/>
      <c r="H8" s="4"/>
    </row>
    <row r="9" ht="15.0" customHeight="1">
      <c r="A9" s="19">
        <v>1.0</v>
      </c>
      <c r="B9" s="12" t="s">
        <v>383</v>
      </c>
      <c r="C9" s="13"/>
      <c r="D9" s="13"/>
      <c r="E9" s="13"/>
      <c r="F9" s="13"/>
      <c r="G9" s="13"/>
      <c r="H9" s="10"/>
    </row>
    <row r="10" ht="15.0" customHeight="1">
      <c r="A10" s="19">
        <v>2.0</v>
      </c>
      <c r="B10" s="12" t="s">
        <v>384</v>
      </c>
      <c r="C10" s="13"/>
      <c r="D10" s="13"/>
      <c r="E10" s="13"/>
      <c r="F10" s="13"/>
      <c r="G10" s="13"/>
      <c r="H10" s="10"/>
    </row>
    <row r="11" ht="15.0" customHeight="1">
      <c r="A11" s="19">
        <v>3.0</v>
      </c>
      <c r="B11" s="12" t="s">
        <v>385</v>
      </c>
      <c r="C11" s="13"/>
      <c r="D11" s="13"/>
      <c r="E11" s="13"/>
      <c r="F11" s="13"/>
      <c r="G11" s="13"/>
      <c r="H11" s="10"/>
    </row>
    <row r="12" ht="15.0" customHeight="1">
      <c r="A12" s="19">
        <v>4.0</v>
      </c>
      <c r="B12" s="12" t="s">
        <v>386</v>
      </c>
      <c r="C12" s="13"/>
      <c r="D12" s="13"/>
      <c r="E12" s="13"/>
      <c r="F12" s="13"/>
      <c r="G12" s="13"/>
      <c r="H12" s="10"/>
    </row>
    <row r="13" ht="15.0" customHeight="1">
      <c r="A13" s="19">
        <v>5.0</v>
      </c>
      <c r="B13" s="12" t="s">
        <v>387</v>
      </c>
      <c r="C13" s="13"/>
      <c r="D13" s="13"/>
      <c r="E13" s="13"/>
      <c r="F13" s="13"/>
      <c r="G13" s="13"/>
      <c r="H13" s="10"/>
    </row>
    <row r="15" ht="19.5" customHeight="1">
      <c r="A15" s="8" t="s">
        <v>42</v>
      </c>
      <c r="B15" s="3"/>
      <c r="C15" s="3"/>
      <c r="D15" s="3"/>
      <c r="E15" s="3"/>
      <c r="F15" s="3"/>
      <c r="G15" s="3"/>
      <c r="H15" s="4"/>
    </row>
    <row r="16" ht="27.75" customHeight="1">
      <c r="A16" s="16" t="s">
        <v>44</v>
      </c>
      <c r="B16" s="16" t="s">
        <v>45</v>
      </c>
      <c r="C16" s="16" t="s">
        <v>46</v>
      </c>
      <c r="D16" s="16" t="s">
        <v>47</v>
      </c>
      <c r="E16" s="16" t="s">
        <v>49</v>
      </c>
      <c r="F16" s="16" t="s">
        <v>6</v>
      </c>
      <c r="G16" s="16" t="s">
        <v>50</v>
      </c>
      <c r="H16" s="16" t="s">
        <v>9</v>
      </c>
    </row>
    <row r="17" ht="30.0" customHeight="1">
      <c r="A17" s="19">
        <v>1.0</v>
      </c>
      <c r="B17" s="27" t="s">
        <v>55</v>
      </c>
      <c r="C17" s="21" t="s">
        <v>388</v>
      </c>
      <c r="D17" s="28" t="s">
        <v>389</v>
      </c>
      <c r="E17" s="29" t="s">
        <v>390</v>
      </c>
      <c r="F17" s="28" t="s">
        <v>110</v>
      </c>
      <c r="G17" s="19" t="s">
        <v>64</v>
      </c>
      <c r="H17" s="30"/>
    </row>
    <row r="18" ht="30.0" customHeight="1">
      <c r="A18" s="19">
        <v>2.0</v>
      </c>
      <c r="B18" s="27" t="s">
        <v>55</v>
      </c>
      <c r="C18" s="21" t="s">
        <v>392</v>
      </c>
      <c r="D18" s="28" t="s">
        <v>393</v>
      </c>
      <c r="E18" s="29" t="s">
        <v>394</v>
      </c>
      <c r="F18" s="28" t="s">
        <v>110</v>
      </c>
      <c r="G18" s="19" t="s">
        <v>64</v>
      </c>
      <c r="H18" s="30"/>
    </row>
    <row r="19" ht="30.0" customHeight="1">
      <c r="A19" s="19">
        <v>3.0</v>
      </c>
      <c r="B19" s="27" t="s">
        <v>55</v>
      </c>
      <c r="C19" s="21" t="s">
        <v>395</v>
      </c>
      <c r="D19" s="28" t="s">
        <v>396</v>
      </c>
      <c r="E19" s="29" t="s">
        <v>397</v>
      </c>
      <c r="F19" s="28" t="s">
        <v>110</v>
      </c>
      <c r="G19" s="19" t="s">
        <v>64</v>
      </c>
      <c r="H19" s="30"/>
    </row>
    <row r="20" ht="30.0" customHeight="1">
      <c r="A20" s="19">
        <v>4.0</v>
      </c>
      <c r="B20" s="27" t="s">
        <v>89</v>
      </c>
      <c r="C20" s="21" t="s">
        <v>399</v>
      </c>
      <c r="D20" s="28" t="s">
        <v>400</v>
      </c>
      <c r="E20" s="29"/>
      <c r="F20" s="28" t="s">
        <v>110</v>
      </c>
      <c r="G20" s="19" t="s">
        <v>95</v>
      </c>
      <c r="H20" s="30"/>
    </row>
    <row r="21" ht="30.0" customHeight="1">
      <c r="A21" s="19">
        <v>5.0</v>
      </c>
      <c r="B21" s="27" t="s">
        <v>89</v>
      </c>
      <c r="C21" s="21" t="s">
        <v>401</v>
      </c>
      <c r="D21" s="28" t="s">
        <v>403</v>
      </c>
      <c r="E21" s="29"/>
      <c r="F21" s="28" t="s">
        <v>7</v>
      </c>
      <c r="G21" s="19" t="s">
        <v>95</v>
      </c>
      <c r="H21" s="30"/>
    </row>
    <row r="22" ht="30.0" customHeight="1">
      <c r="A22" s="19">
        <v>6.0</v>
      </c>
      <c r="B22" s="27" t="s">
        <v>89</v>
      </c>
      <c r="C22" s="21" t="s">
        <v>404</v>
      </c>
      <c r="D22" s="28" t="s">
        <v>405</v>
      </c>
      <c r="E22" s="29" t="s">
        <v>406</v>
      </c>
      <c r="F22" s="28" t="s">
        <v>110</v>
      </c>
      <c r="G22" s="19" t="s">
        <v>95</v>
      </c>
      <c r="H22" s="30"/>
    </row>
    <row r="23" ht="30.0" customHeight="1">
      <c r="A23" s="19">
        <v>7.0</v>
      </c>
      <c r="B23" s="27" t="s">
        <v>111</v>
      </c>
      <c r="C23" s="21" t="s">
        <v>407</v>
      </c>
      <c r="D23" s="28" t="s">
        <v>408</v>
      </c>
      <c r="E23" s="29"/>
      <c r="F23" s="28" t="s">
        <v>110</v>
      </c>
      <c r="G23" s="19" t="s">
        <v>114</v>
      </c>
      <c r="H23" s="30"/>
    </row>
    <row r="24" ht="30.0" customHeight="1">
      <c r="A24" s="19">
        <v>8.0</v>
      </c>
      <c r="B24" s="27" t="s">
        <v>83</v>
      </c>
      <c r="C24" s="21" t="s">
        <v>410</v>
      </c>
      <c r="D24" s="28" t="s">
        <v>411</v>
      </c>
      <c r="E24" s="29" t="s">
        <v>412</v>
      </c>
      <c r="F24" s="28" t="s">
        <v>7</v>
      </c>
      <c r="G24" s="19" t="s">
        <v>88</v>
      </c>
      <c r="H24" s="30"/>
    </row>
    <row r="25" ht="45.0" customHeight="1">
      <c r="A25" s="19">
        <v>9.0</v>
      </c>
      <c r="B25" s="27" t="s">
        <v>122</v>
      </c>
      <c r="C25" s="21" t="s">
        <v>413</v>
      </c>
      <c r="D25" s="28" t="s">
        <v>414</v>
      </c>
      <c r="E25" s="29" t="s">
        <v>415</v>
      </c>
      <c r="F25" s="28" t="s">
        <v>110</v>
      </c>
      <c r="G25" s="19" t="s">
        <v>127</v>
      </c>
      <c r="H25" s="30"/>
    </row>
    <row r="26" ht="45.0" customHeight="1">
      <c r="A26" s="19">
        <v>10.0</v>
      </c>
      <c r="B26" s="27" t="s">
        <v>122</v>
      </c>
      <c r="C26" s="21" t="s">
        <v>417</v>
      </c>
      <c r="D26" s="28" t="s">
        <v>418</v>
      </c>
      <c r="E26" s="29" t="s">
        <v>419</v>
      </c>
      <c r="F26" s="28" t="s">
        <v>110</v>
      </c>
      <c r="G26" s="19" t="s">
        <v>127</v>
      </c>
      <c r="H26" s="30"/>
    </row>
    <row r="27" ht="19.5" customHeight="1">
      <c r="A27" s="35"/>
      <c r="B27" s="35"/>
      <c r="C27" s="35"/>
      <c r="D27" s="35"/>
      <c r="E27" s="35"/>
      <c r="F27" s="35"/>
      <c r="G27" s="35"/>
      <c r="H27" s="36"/>
    </row>
    <row r="28" ht="19.5" customHeight="1">
      <c r="A28" s="35"/>
      <c r="B28" s="35"/>
      <c r="C28" s="35"/>
      <c r="D28" s="35"/>
      <c r="E28" s="35"/>
      <c r="F28" s="35"/>
      <c r="G28" s="35"/>
      <c r="H28" s="36"/>
    </row>
    <row r="29" ht="15.75" customHeight="1">
      <c r="A29" s="37" t="s">
        <v>194</v>
      </c>
      <c r="B29" s="13"/>
      <c r="C29" s="13"/>
      <c r="D29" s="10"/>
      <c r="E29" s="39">
        <f>COUNTIF(H17:H28,"Done")</f>
        <v>0</v>
      </c>
      <c r="F29" s="40" t="str">
        <f>"of 10 actions"</f>
        <v>of 10 actions</v>
      </c>
      <c r="G29" s="41" t="s">
        <v>22</v>
      </c>
      <c r="H29" s="42">
        <f>IFERROR($E29/10,0)</f>
        <v>0</v>
      </c>
    </row>
    <row r="30" ht="15.75" customHeight="1"/>
    <row r="31" ht="19.5" customHeight="1">
      <c r="A31" s="8" t="s">
        <v>216</v>
      </c>
      <c r="B31" s="3"/>
      <c r="C31" s="3"/>
      <c r="D31" s="3"/>
      <c r="E31" s="3"/>
      <c r="F31" s="3"/>
      <c r="G31" s="3"/>
      <c r="H31" s="4"/>
    </row>
    <row r="32" ht="15.0" customHeight="1">
      <c r="A32" s="19">
        <v>1.0</v>
      </c>
      <c r="B32" s="12" t="s">
        <v>431</v>
      </c>
      <c r="C32" s="13"/>
      <c r="D32" s="13"/>
      <c r="E32" s="13"/>
      <c r="F32" s="13"/>
      <c r="G32" s="13"/>
      <c r="H32" s="10"/>
    </row>
    <row r="33" ht="15.0" customHeight="1">
      <c r="A33" s="19">
        <v>2.0</v>
      </c>
      <c r="B33" s="12" t="s">
        <v>432</v>
      </c>
      <c r="C33" s="13"/>
      <c r="D33" s="13"/>
      <c r="E33" s="13"/>
      <c r="F33" s="13"/>
      <c r="G33" s="13"/>
      <c r="H33" s="10"/>
    </row>
    <row r="34" ht="15.0" customHeight="1">
      <c r="A34" s="19">
        <v>3.0</v>
      </c>
      <c r="B34" s="12" t="s">
        <v>435</v>
      </c>
      <c r="C34" s="13"/>
      <c r="D34" s="13"/>
      <c r="E34" s="13"/>
      <c r="F34" s="13"/>
      <c r="G34" s="13"/>
      <c r="H34" s="10"/>
    </row>
    <row r="35" ht="15.0" customHeight="1">
      <c r="A35" s="19">
        <v>4.0</v>
      </c>
      <c r="B35" s="12" t="s">
        <v>438</v>
      </c>
      <c r="C35" s="13"/>
      <c r="D35" s="13"/>
      <c r="E35" s="13"/>
      <c r="F35" s="13"/>
      <c r="G35" s="13"/>
      <c r="H35" s="10"/>
    </row>
    <row r="36" ht="15.0" customHeight="1">
      <c r="A36" s="19">
        <v>5.0</v>
      </c>
      <c r="B36" s="12" t="s">
        <v>440</v>
      </c>
      <c r="C36" s="13"/>
      <c r="D36" s="13"/>
      <c r="E36" s="13"/>
      <c r="F36" s="13"/>
      <c r="G36" s="13"/>
      <c r="H36" s="10"/>
    </row>
    <row r="37" ht="15.0" customHeight="1">
      <c r="A37" s="19">
        <v>6.0</v>
      </c>
      <c r="B37" s="12" t="s">
        <v>441</v>
      </c>
      <c r="C37" s="13"/>
      <c r="D37" s="13"/>
      <c r="E37" s="13"/>
      <c r="F37" s="13"/>
      <c r="G37" s="13"/>
      <c r="H37" s="10"/>
    </row>
    <row r="38" ht="15.75" customHeight="1"/>
    <row r="39" ht="19.5" customHeight="1">
      <c r="A39" s="8" t="s">
        <v>240</v>
      </c>
      <c r="B39" s="3"/>
      <c r="C39" s="3"/>
      <c r="D39" s="3"/>
      <c r="E39" s="3"/>
      <c r="F39" s="3"/>
      <c r="G39" s="3"/>
      <c r="H39" s="4"/>
    </row>
    <row r="40" ht="15.0" customHeight="1">
      <c r="A40" s="19">
        <v>1.0</v>
      </c>
      <c r="B40" s="12" t="s">
        <v>442</v>
      </c>
      <c r="C40" s="13"/>
      <c r="D40" s="13"/>
      <c r="E40" s="13"/>
      <c r="F40" s="13"/>
      <c r="G40" s="13"/>
      <c r="H40" s="10"/>
    </row>
    <row r="41" ht="15.0" customHeight="1">
      <c r="A41" s="19">
        <v>2.0</v>
      </c>
      <c r="B41" s="12" t="s">
        <v>443</v>
      </c>
      <c r="C41" s="13"/>
      <c r="D41" s="13"/>
      <c r="E41" s="13"/>
      <c r="F41" s="13"/>
      <c r="G41" s="13"/>
      <c r="H41" s="10"/>
    </row>
    <row r="42" ht="15.0" customHeight="1">
      <c r="A42" s="19">
        <v>3.0</v>
      </c>
      <c r="B42" s="12" t="s">
        <v>444</v>
      </c>
      <c r="C42" s="13"/>
      <c r="D42" s="13"/>
      <c r="E42" s="13"/>
      <c r="F42" s="13"/>
      <c r="G42" s="13"/>
      <c r="H42" s="10"/>
    </row>
    <row r="43" ht="15.75" customHeight="1"/>
    <row r="44" ht="19.5" customHeight="1">
      <c r="A44" s="8" t="s">
        <v>269</v>
      </c>
      <c r="B44" s="3"/>
      <c r="C44" s="3"/>
      <c r="D44" s="3"/>
      <c r="E44" s="3"/>
      <c r="F44" s="3"/>
      <c r="G44" s="3"/>
      <c r="H44" s="4"/>
    </row>
    <row r="45" ht="30.0" customHeight="1">
      <c r="A45" s="12" t="s">
        <v>445</v>
      </c>
      <c r="B45" s="13"/>
      <c r="C45" s="13"/>
      <c r="D45" s="13"/>
      <c r="E45" s="13"/>
      <c r="F45" s="13"/>
      <c r="G45" s="13"/>
      <c r="H45" s="10"/>
    </row>
    <row r="46" ht="15.75" customHeight="1"/>
    <row r="47" ht="19.5" customHeight="1">
      <c r="A47" s="8" t="s">
        <v>281</v>
      </c>
      <c r="B47" s="3"/>
      <c r="C47" s="3"/>
      <c r="D47" s="3"/>
      <c r="E47" s="3"/>
      <c r="F47" s="3"/>
      <c r="G47" s="3"/>
      <c r="H47" s="4"/>
    </row>
    <row r="48" ht="19.5" customHeight="1">
      <c r="A48" s="16" t="s">
        <v>44</v>
      </c>
      <c r="B48" s="44" t="s">
        <v>288</v>
      </c>
      <c r="C48" s="13"/>
      <c r="D48" s="10"/>
      <c r="E48" s="44" t="s">
        <v>291</v>
      </c>
      <c r="F48" s="13"/>
      <c r="G48" s="13"/>
      <c r="H48" s="10"/>
    </row>
    <row r="49" ht="30.0" customHeight="1">
      <c r="A49" s="19">
        <v>1.0</v>
      </c>
      <c r="B49" s="12" t="s">
        <v>446</v>
      </c>
      <c r="C49" s="13"/>
      <c r="D49" s="10"/>
      <c r="E49" s="12" t="s">
        <v>447</v>
      </c>
      <c r="F49" s="13"/>
      <c r="G49" s="13"/>
      <c r="H49" s="10"/>
    </row>
    <row r="50" ht="30.0" customHeight="1">
      <c r="A50" s="19">
        <v>2.0</v>
      </c>
      <c r="B50" s="12" t="s">
        <v>448</v>
      </c>
      <c r="C50" s="13"/>
      <c r="D50" s="10"/>
      <c r="E50" s="12" t="s">
        <v>449</v>
      </c>
      <c r="F50" s="13"/>
      <c r="G50" s="13"/>
      <c r="H50" s="10"/>
    </row>
    <row r="51" ht="15.75" customHeight="1"/>
    <row r="52" ht="19.5" customHeight="1">
      <c r="A52" s="8" t="s">
        <v>317</v>
      </c>
      <c r="B52" s="3"/>
      <c r="C52" s="3"/>
      <c r="D52" s="3"/>
      <c r="E52" s="3"/>
      <c r="F52" s="3"/>
      <c r="G52" s="3"/>
      <c r="H52" s="4"/>
    </row>
    <row r="53" ht="21.75" customHeight="1">
      <c r="A53" s="46" t="s">
        <v>322</v>
      </c>
      <c r="B53" s="13"/>
      <c r="C53" s="13"/>
      <c r="D53" s="13"/>
      <c r="E53" s="13"/>
      <c r="F53" s="13"/>
      <c r="G53" s="13"/>
      <c r="H53" s="10"/>
    </row>
    <row r="54" ht="19.5" customHeight="1">
      <c r="A54" s="16" t="s">
        <v>44</v>
      </c>
      <c r="B54" s="16" t="s">
        <v>330</v>
      </c>
      <c r="C54" s="44" t="s">
        <v>331</v>
      </c>
      <c r="D54" s="10"/>
      <c r="E54" s="44" t="s">
        <v>335</v>
      </c>
      <c r="F54" s="10"/>
      <c r="G54" s="44" t="s">
        <v>336</v>
      </c>
      <c r="H54" s="10"/>
    </row>
    <row r="55" ht="19.5" customHeight="1">
      <c r="A55" s="47">
        <v>1.0</v>
      </c>
      <c r="B55" s="48"/>
      <c r="C55" s="45"/>
      <c r="D55" s="10"/>
      <c r="E55" s="45"/>
      <c r="F55" s="10"/>
      <c r="G55" s="45"/>
      <c r="H55" s="10"/>
    </row>
    <row r="56" ht="19.5" customHeight="1">
      <c r="A56" s="47">
        <v>2.0</v>
      </c>
      <c r="B56" s="48"/>
      <c r="C56" s="45"/>
      <c r="D56" s="10"/>
      <c r="E56" s="45"/>
      <c r="F56" s="10"/>
      <c r="G56" s="45"/>
      <c r="H56" s="10"/>
    </row>
    <row r="57" ht="19.5" customHeight="1">
      <c r="A57" s="47">
        <v>3.0</v>
      </c>
      <c r="B57" s="48"/>
      <c r="C57" s="45"/>
      <c r="D57" s="10"/>
      <c r="E57" s="45"/>
      <c r="F57" s="10"/>
      <c r="G57" s="45"/>
      <c r="H57" s="10"/>
    </row>
    <row r="58" ht="19.5" customHeight="1">
      <c r="A58" s="47">
        <v>4.0</v>
      </c>
      <c r="B58" s="48"/>
      <c r="C58" s="45"/>
      <c r="D58" s="10"/>
      <c r="E58" s="45"/>
      <c r="F58" s="10"/>
      <c r="G58" s="45"/>
      <c r="H58" s="10"/>
    </row>
    <row r="59" ht="19.5" customHeight="1">
      <c r="A59" s="47">
        <v>5.0</v>
      </c>
      <c r="B59" s="48"/>
      <c r="C59" s="45"/>
      <c r="D59" s="10"/>
      <c r="E59" s="45"/>
      <c r="F59" s="10"/>
      <c r="G59" s="45"/>
      <c r="H59" s="10"/>
    </row>
    <row r="60" ht="19.5" customHeight="1">
      <c r="A60" s="47">
        <v>6.0</v>
      </c>
      <c r="B60" s="48"/>
      <c r="C60" s="45"/>
      <c r="D60" s="10"/>
      <c r="E60" s="45"/>
      <c r="F60" s="10"/>
      <c r="G60" s="45"/>
      <c r="H60" s="10"/>
    </row>
    <row r="61" ht="19.5" customHeight="1">
      <c r="A61" s="47">
        <v>7.0</v>
      </c>
      <c r="B61" s="48"/>
      <c r="C61" s="45"/>
      <c r="D61" s="10"/>
      <c r="E61" s="45"/>
      <c r="F61" s="10"/>
      <c r="G61" s="45"/>
      <c r="H61" s="10"/>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E58:F58"/>
    <mergeCell ref="G58:H58"/>
    <mergeCell ref="C56:D56"/>
    <mergeCell ref="E56:F56"/>
    <mergeCell ref="G56:H56"/>
    <mergeCell ref="C57:D57"/>
    <mergeCell ref="E57:F57"/>
    <mergeCell ref="G57:H57"/>
    <mergeCell ref="C58:D58"/>
    <mergeCell ref="A1:H1"/>
    <mergeCell ref="D2:E2"/>
    <mergeCell ref="G2:H2"/>
    <mergeCell ref="A3:H3"/>
    <mergeCell ref="A5:H5"/>
    <mergeCell ref="A6:H6"/>
    <mergeCell ref="A8:H8"/>
    <mergeCell ref="B9:H9"/>
    <mergeCell ref="B10:H10"/>
    <mergeCell ref="B11:H11"/>
    <mergeCell ref="B12:H12"/>
    <mergeCell ref="B13:H13"/>
    <mergeCell ref="A15:H15"/>
    <mergeCell ref="A29:D29"/>
    <mergeCell ref="A31:H31"/>
    <mergeCell ref="B32:H32"/>
    <mergeCell ref="B33:H33"/>
    <mergeCell ref="B34:H34"/>
    <mergeCell ref="B35:H35"/>
    <mergeCell ref="B36:H36"/>
    <mergeCell ref="B37:H37"/>
    <mergeCell ref="A39:H39"/>
    <mergeCell ref="B40:H40"/>
    <mergeCell ref="B41:H41"/>
    <mergeCell ref="B42:H42"/>
    <mergeCell ref="A44:H44"/>
    <mergeCell ref="A45:H45"/>
    <mergeCell ref="A47:H47"/>
    <mergeCell ref="B48:D48"/>
    <mergeCell ref="E48:H48"/>
    <mergeCell ref="B49:D49"/>
    <mergeCell ref="E49:H49"/>
    <mergeCell ref="B50:D50"/>
    <mergeCell ref="E50:H50"/>
    <mergeCell ref="A52:H52"/>
    <mergeCell ref="A53:H53"/>
    <mergeCell ref="C54:D54"/>
    <mergeCell ref="E54:F54"/>
    <mergeCell ref="G54:H54"/>
    <mergeCell ref="C55:D55"/>
    <mergeCell ref="E55:F55"/>
    <mergeCell ref="G55:H55"/>
    <mergeCell ref="E61:F61"/>
    <mergeCell ref="G61:H61"/>
    <mergeCell ref="C59:D59"/>
    <mergeCell ref="E59:F59"/>
    <mergeCell ref="G59:H59"/>
    <mergeCell ref="C60:D60"/>
    <mergeCell ref="E60:F60"/>
    <mergeCell ref="G60:H60"/>
    <mergeCell ref="C61:D61"/>
  </mergeCells>
  <dataValidations>
    <dataValidation type="list" allowBlank="1" sqref="G2">
      <formula1>"Not started,On track,At risk,Behind,Done"</formula1>
    </dataValidation>
    <dataValidation type="list" allowBlank="1" sqref="H17:H28">
      <formula1>"Not started,In progress,Done,Blocked"</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2.0" topLeftCell="A13" activePane="bottomLeft" state="frozen"/>
      <selection activeCell="B14" sqref="B14" pane="bottomLeft"/>
    </sheetView>
  </sheetViews>
  <sheetFormatPr customHeight="1" defaultColWidth="14.43" defaultRowHeight="15.0"/>
  <cols>
    <col customWidth="1" min="1" max="1" width="5.0"/>
    <col customWidth="1" min="2" max="2" width="12.0"/>
    <col customWidth="1" min="3" max="3" width="18.0"/>
    <col customWidth="1" min="4" max="4" width="10.0"/>
    <col customWidth="1" min="5" max="5" width="14.0"/>
    <col customWidth="1" min="6" max="6" width="64.0"/>
    <col customWidth="1" min="7" max="7" width="46.0"/>
    <col customWidth="1" min="8" max="8" width="18.0"/>
    <col customWidth="1" min="9" max="9" width="10.0"/>
    <col customWidth="1" min="10" max="10" width="11.0"/>
    <col customWidth="1" min="11" max="26" width="8.71"/>
  </cols>
  <sheetData>
    <row r="1" ht="25.5" customHeight="1">
      <c r="A1" s="2" t="s">
        <v>391</v>
      </c>
      <c r="B1" s="3"/>
      <c r="C1" s="3"/>
      <c r="D1" s="3"/>
      <c r="E1" s="3"/>
      <c r="F1" s="3"/>
      <c r="G1" s="3"/>
      <c r="H1" s="3"/>
      <c r="I1" s="3"/>
      <c r="J1" s="4"/>
    </row>
    <row r="2" ht="24.0" customHeight="1">
      <c r="A2" s="55" t="s">
        <v>398</v>
      </c>
    </row>
    <row r="4" ht="19.5" customHeight="1">
      <c r="A4" s="8" t="s">
        <v>402</v>
      </c>
      <c r="B4" s="3"/>
      <c r="C4" s="3"/>
      <c r="D4" s="3"/>
      <c r="E4" s="3"/>
      <c r="F4" s="3"/>
      <c r="G4" s="3"/>
      <c r="H4" s="3"/>
      <c r="I4" s="3"/>
      <c r="J4" s="4"/>
    </row>
    <row r="5" ht="15.0" customHeight="1">
      <c r="A5" s="27">
        <v>1.0</v>
      </c>
      <c r="B5" s="12" t="s">
        <v>409</v>
      </c>
      <c r="C5" s="13"/>
      <c r="D5" s="13"/>
      <c r="E5" s="13"/>
      <c r="F5" s="13"/>
      <c r="G5" s="13"/>
      <c r="H5" s="13"/>
      <c r="I5" s="13"/>
      <c r="J5" s="10"/>
    </row>
    <row r="6" ht="30.0" customHeight="1">
      <c r="A6" s="27">
        <v>2.0</v>
      </c>
      <c r="B6" s="12" t="s">
        <v>416</v>
      </c>
      <c r="C6" s="13"/>
      <c r="D6" s="13"/>
      <c r="E6" s="13"/>
      <c r="F6" s="13"/>
      <c r="G6" s="13"/>
      <c r="H6" s="13"/>
      <c r="I6" s="13"/>
      <c r="J6" s="10"/>
    </row>
    <row r="7" ht="15.0" customHeight="1">
      <c r="A7" s="27">
        <v>3.0</v>
      </c>
      <c r="B7" s="12" t="s">
        <v>420</v>
      </c>
      <c r="C7" s="13"/>
      <c r="D7" s="13"/>
      <c r="E7" s="13"/>
      <c r="F7" s="13"/>
      <c r="G7" s="13"/>
      <c r="H7" s="13"/>
      <c r="I7" s="13"/>
      <c r="J7" s="10"/>
    </row>
    <row r="8" ht="15.0" customHeight="1">
      <c r="A8" s="27">
        <v>4.0</v>
      </c>
      <c r="B8" s="12" t="s">
        <v>421</v>
      </c>
      <c r="C8" s="13"/>
      <c r="D8" s="13"/>
      <c r="E8" s="13"/>
      <c r="F8" s="13"/>
      <c r="G8" s="13"/>
      <c r="H8" s="13"/>
      <c r="I8" s="13"/>
      <c r="J8" s="10"/>
    </row>
    <row r="9" ht="15.0" customHeight="1">
      <c r="A9" s="27">
        <v>5.0</v>
      </c>
      <c r="B9" s="12" t="s">
        <v>422</v>
      </c>
      <c r="C9" s="13"/>
      <c r="D9" s="13"/>
      <c r="E9" s="13"/>
      <c r="F9" s="13"/>
      <c r="G9" s="13"/>
      <c r="H9" s="13"/>
      <c r="I9" s="13"/>
      <c r="J9" s="10"/>
    </row>
    <row r="11" ht="19.5" customHeight="1">
      <c r="A11" s="8" t="s">
        <v>423</v>
      </c>
      <c r="B11" s="3"/>
      <c r="C11" s="3"/>
      <c r="D11" s="3"/>
      <c r="E11" s="3"/>
      <c r="F11" s="3"/>
      <c r="G11" s="3"/>
      <c r="H11" s="3"/>
      <c r="I11" s="3"/>
      <c r="J11" s="4"/>
    </row>
    <row r="12" ht="30.0" customHeight="1">
      <c r="A12" s="16" t="s">
        <v>44</v>
      </c>
      <c r="B12" s="16" t="s">
        <v>330</v>
      </c>
      <c r="C12" s="16" t="s">
        <v>424</v>
      </c>
      <c r="D12" s="16" t="s">
        <v>18</v>
      </c>
      <c r="E12" s="16" t="s">
        <v>425</v>
      </c>
      <c r="F12" s="16" t="s">
        <v>426</v>
      </c>
      <c r="G12" s="16" t="s">
        <v>427</v>
      </c>
      <c r="H12" s="16" t="s">
        <v>428</v>
      </c>
      <c r="I12" s="16" t="s">
        <v>50</v>
      </c>
      <c r="J12" s="16" t="s">
        <v>9</v>
      </c>
    </row>
    <row r="13" ht="30.0" customHeight="1">
      <c r="A13" s="56">
        <v>1.0</v>
      </c>
      <c r="B13" s="56" t="s">
        <v>429</v>
      </c>
      <c r="C13" s="57" t="s">
        <v>430</v>
      </c>
      <c r="D13" s="56" t="s">
        <v>24</v>
      </c>
      <c r="E13" s="56" t="s">
        <v>433</v>
      </c>
      <c r="F13" s="58" t="s">
        <v>434</v>
      </c>
      <c r="G13" s="58" t="s">
        <v>436</v>
      </c>
      <c r="H13" s="57" t="s">
        <v>7</v>
      </c>
      <c r="I13" s="56" t="s">
        <v>437</v>
      </c>
      <c r="J13" s="56" t="s">
        <v>439</v>
      </c>
    </row>
    <row r="14" ht="21.75" customHeight="1">
      <c r="A14" s="47">
        <v>2.0</v>
      </c>
      <c r="B14" s="59"/>
      <c r="C14" s="36"/>
      <c r="D14" s="59"/>
      <c r="E14" s="59"/>
      <c r="F14" s="48"/>
      <c r="G14" s="48"/>
      <c r="H14" s="36"/>
      <c r="I14" s="59"/>
      <c r="J14" s="59"/>
    </row>
    <row r="15" ht="21.75" customHeight="1">
      <c r="A15" s="47">
        <v>3.0</v>
      </c>
      <c r="B15" s="59"/>
      <c r="C15" s="36"/>
      <c r="D15" s="59"/>
      <c r="E15" s="59"/>
      <c r="F15" s="48"/>
      <c r="G15" s="48"/>
      <c r="H15" s="36"/>
      <c r="I15" s="59"/>
      <c r="J15" s="59"/>
    </row>
    <row r="16" ht="21.75" customHeight="1">
      <c r="A16" s="47">
        <v>4.0</v>
      </c>
      <c r="B16" s="59"/>
      <c r="C16" s="36"/>
      <c r="D16" s="59"/>
      <c r="E16" s="59"/>
      <c r="F16" s="48"/>
      <c r="G16" s="48"/>
      <c r="H16" s="36"/>
      <c r="I16" s="59"/>
      <c r="J16" s="59"/>
    </row>
    <row r="17" ht="21.75" customHeight="1">
      <c r="A17" s="47">
        <v>5.0</v>
      </c>
      <c r="B17" s="59"/>
      <c r="C17" s="36"/>
      <c r="D17" s="59"/>
      <c r="E17" s="59"/>
      <c r="F17" s="48"/>
      <c r="G17" s="48"/>
      <c r="H17" s="36"/>
      <c r="I17" s="59"/>
      <c r="J17" s="59"/>
    </row>
    <row r="18" ht="21.75" customHeight="1">
      <c r="A18" s="47">
        <v>6.0</v>
      </c>
      <c r="B18" s="59"/>
      <c r="C18" s="36"/>
      <c r="D18" s="59"/>
      <c r="E18" s="59"/>
      <c r="F18" s="48"/>
      <c r="G18" s="48"/>
      <c r="H18" s="36"/>
      <c r="I18" s="59"/>
      <c r="J18" s="59"/>
    </row>
    <row r="19" ht="21.75" customHeight="1">
      <c r="A19" s="47">
        <v>7.0</v>
      </c>
      <c r="B19" s="59"/>
      <c r="C19" s="36"/>
      <c r="D19" s="59"/>
      <c r="E19" s="59"/>
      <c r="F19" s="48"/>
      <c r="G19" s="48"/>
      <c r="H19" s="36"/>
      <c r="I19" s="59"/>
      <c r="J19" s="59"/>
    </row>
    <row r="20" ht="21.75" customHeight="1">
      <c r="A20" s="47">
        <v>8.0</v>
      </c>
      <c r="B20" s="59"/>
      <c r="C20" s="36"/>
      <c r="D20" s="59"/>
      <c r="E20" s="59"/>
      <c r="F20" s="48"/>
      <c r="G20" s="48"/>
      <c r="H20" s="36"/>
      <c r="I20" s="59"/>
      <c r="J20" s="59"/>
    </row>
    <row r="21" ht="21.75" customHeight="1">
      <c r="A21" s="47">
        <v>9.0</v>
      </c>
      <c r="B21" s="59"/>
      <c r="C21" s="36"/>
      <c r="D21" s="59"/>
      <c r="E21" s="59"/>
      <c r="F21" s="48"/>
      <c r="G21" s="48"/>
      <c r="H21" s="36"/>
      <c r="I21" s="59"/>
      <c r="J21" s="59"/>
    </row>
    <row r="22" ht="21.75" customHeight="1">
      <c r="A22" s="47">
        <v>10.0</v>
      </c>
      <c r="B22" s="59"/>
      <c r="C22" s="36"/>
      <c r="D22" s="59"/>
      <c r="E22" s="59"/>
      <c r="F22" s="48"/>
      <c r="G22" s="48"/>
      <c r="H22" s="36"/>
      <c r="I22" s="59"/>
      <c r="J22" s="59"/>
    </row>
    <row r="23" ht="21.75" customHeight="1">
      <c r="A23" s="47">
        <v>11.0</v>
      </c>
      <c r="B23" s="59"/>
      <c r="C23" s="36"/>
      <c r="D23" s="59"/>
      <c r="E23" s="59"/>
      <c r="F23" s="48"/>
      <c r="G23" s="48"/>
      <c r="H23" s="36"/>
      <c r="I23" s="59"/>
      <c r="J23" s="59"/>
    </row>
    <row r="24" ht="21.75" customHeight="1">
      <c r="A24" s="47">
        <v>12.0</v>
      </c>
      <c r="B24" s="59"/>
      <c r="C24" s="36"/>
      <c r="D24" s="59"/>
      <c r="E24" s="59"/>
      <c r="F24" s="48"/>
      <c r="G24" s="48"/>
      <c r="H24" s="36"/>
      <c r="I24" s="59"/>
      <c r="J24" s="59"/>
    </row>
    <row r="25" ht="21.75" customHeight="1">
      <c r="A25" s="47">
        <v>13.0</v>
      </c>
      <c r="B25" s="59"/>
      <c r="C25" s="36"/>
      <c r="D25" s="59"/>
      <c r="E25" s="59"/>
      <c r="F25" s="48"/>
      <c r="G25" s="48"/>
      <c r="H25" s="36"/>
      <c r="I25" s="59"/>
      <c r="J25" s="59"/>
    </row>
    <row r="26" ht="21.75" customHeight="1">
      <c r="A26" s="47">
        <v>14.0</v>
      </c>
      <c r="B26" s="59"/>
      <c r="C26" s="36"/>
      <c r="D26" s="59"/>
      <c r="E26" s="59"/>
      <c r="F26" s="48"/>
      <c r="G26" s="48"/>
      <c r="H26" s="36"/>
      <c r="I26" s="59"/>
      <c r="J26" s="59"/>
    </row>
    <row r="27" ht="21.75" customHeight="1">
      <c r="A27" s="47">
        <v>15.0</v>
      </c>
      <c r="B27" s="59"/>
      <c r="C27" s="36"/>
      <c r="D27" s="59"/>
      <c r="E27" s="59"/>
      <c r="F27" s="48"/>
      <c r="G27" s="48"/>
      <c r="H27" s="36"/>
      <c r="I27" s="59"/>
      <c r="J27" s="59"/>
    </row>
    <row r="28" ht="21.75" customHeight="1">
      <c r="A28" s="47">
        <v>16.0</v>
      </c>
      <c r="B28" s="59"/>
      <c r="C28" s="36"/>
      <c r="D28" s="59"/>
      <c r="E28" s="59"/>
      <c r="F28" s="48"/>
      <c r="G28" s="48"/>
      <c r="H28" s="36"/>
      <c r="I28" s="59"/>
      <c r="J28" s="59"/>
    </row>
    <row r="29" ht="21.75" customHeight="1">
      <c r="A29" s="47">
        <v>17.0</v>
      </c>
      <c r="B29" s="59"/>
      <c r="C29" s="36"/>
      <c r="D29" s="59"/>
      <c r="E29" s="59"/>
      <c r="F29" s="48"/>
      <c r="G29" s="48"/>
      <c r="H29" s="36"/>
      <c r="I29" s="59"/>
      <c r="J29" s="59"/>
    </row>
    <row r="30" ht="21.75" customHeight="1">
      <c r="A30" s="47">
        <v>18.0</v>
      </c>
      <c r="B30" s="59"/>
      <c r="C30" s="36"/>
      <c r="D30" s="59"/>
      <c r="E30" s="59"/>
      <c r="F30" s="48"/>
      <c r="G30" s="48"/>
      <c r="H30" s="36"/>
      <c r="I30" s="59"/>
      <c r="J30" s="59"/>
    </row>
    <row r="31" ht="21.75" customHeight="1">
      <c r="A31" s="47">
        <v>19.0</v>
      </c>
      <c r="B31" s="59"/>
      <c r="C31" s="36"/>
      <c r="D31" s="59"/>
      <c r="E31" s="59"/>
      <c r="F31" s="48"/>
      <c r="G31" s="48"/>
      <c r="H31" s="36"/>
      <c r="I31" s="59"/>
      <c r="J31" s="59"/>
    </row>
    <row r="32" ht="21.75" customHeight="1">
      <c r="A32" s="47">
        <v>20.0</v>
      </c>
      <c r="B32" s="59"/>
      <c r="C32" s="36"/>
      <c r="D32" s="59"/>
      <c r="E32" s="59"/>
      <c r="F32" s="48"/>
      <c r="G32" s="48"/>
      <c r="H32" s="36"/>
      <c r="I32" s="59"/>
      <c r="J32" s="59"/>
    </row>
    <row r="33" ht="21.75" customHeight="1">
      <c r="A33" s="47">
        <v>21.0</v>
      </c>
      <c r="B33" s="59"/>
      <c r="C33" s="36"/>
      <c r="D33" s="59"/>
      <c r="E33" s="59"/>
      <c r="F33" s="48"/>
      <c r="G33" s="48"/>
      <c r="H33" s="36"/>
      <c r="I33" s="59"/>
      <c r="J33" s="59"/>
    </row>
    <row r="34" ht="21.75" customHeight="1">
      <c r="A34" s="47">
        <v>22.0</v>
      </c>
      <c r="B34" s="59"/>
      <c r="C34" s="36"/>
      <c r="D34" s="59"/>
      <c r="E34" s="59"/>
      <c r="F34" s="48"/>
      <c r="G34" s="48"/>
      <c r="H34" s="36"/>
      <c r="I34" s="59"/>
      <c r="J34" s="59"/>
    </row>
    <row r="35" ht="21.75" customHeight="1">
      <c r="A35" s="47">
        <v>23.0</v>
      </c>
      <c r="B35" s="59"/>
      <c r="C35" s="36"/>
      <c r="D35" s="59"/>
      <c r="E35" s="59"/>
      <c r="F35" s="48"/>
      <c r="G35" s="48"/>
      <c r="H35" s="36"/>
      <c r="I35" s="59"/>
      <c r="J35" s="59"/>
    </row>
    <row r="36" ht="21.75" customHeight="1">
      <c r="A36" s="47">
        <v>24.0</v>
      </c>
      <c r="B36" s="59"/>
      <c r="C36" s="36"/>
      <c r="D36" s="59"/>
      <c r="E36" s="59"/>
      <c r="F36" s="48"/>
      <c r="G36" s="48"/>
      <c r="H36" s="36"/>
      <c r="I36" s="59"/>
      <c r="J36" s="59"/>
    </row>
    <row r="37" ht="21.75" customHeight="1">
      <c r="A37" s="47">
        <v>25.0</v>
      </c>
      <c r="B37" s="59"/>
      <c r="C37" s="36"/>
      <c r="D37" s="59"/>
      <c r="E37" s="59"/>
      <c r="F37" s="48"/>
      <c r="G37" s="48"/>
      <c r="H37" s="36"/>
      <c r="I37" s="59"/>
      <c r="J37" s="59"/>
    </row>
    <row r="38" ht="21.75" customHeight="1">
      <c r="A38" s="47">
        <v>26.0</v>
      </c>
      <c r="B38" s="59"/>
      <c r="C38" s="36"/>
      <c r="D38" s="59"/>
      <c r="E38" s="59"/>
      <c r="F38" s="48"/>
      <c r="G38" s="48"/>
      <c r="H38" s="36"/>
      <c r="I38" s="59"/>
      <c r="J38" s="59"/>
    </row>
    <row r="39" ht="21.75" customHeight="1">
      <c r="A39" s="47">
        <v>27.0</v>
      </c>
      <c r="B39" s="59"/>
      <c r="C39" s="36"/>
      <c r="D39" s="59"/>
      <c r="E39" s="59"/>
      <c r="F39" s="48"/>
      <c r="G39" s="48"/>
      <c r="H39" s="36"/>
      <c r="I39" s="59"/>
      <c r="J39" s="59"/>
    </row>
    <row r="40" ht="21.75" customHeight="1">
      <c r="A40" s="47">
        <v>28.0</v>
      </c>
      <c r="B40" s="59"/>
      <c r="C40" s="36"/>
      <c r="D40" s="59"/>
      <c r="E40" s="59"/>
      <c r="F40" s="48"/>
      <c r="G40" s="48"/>
      <c r="H40" s="36"/>
      <c r="I40" s="59"/>
      <c r="J40" s="59"/>
    </row>
    <row r="41" ht="21.75" customHeight="1">
      <c r="A41" s="47">
        <v>29.0</v>
      </c>
      <c r="B41" s="59"/>
      <c r="C41" s="36"/>
      <c r="D41" s="59"/>
      <c r="E41" s="59"/>
      <c r="F41" s="48"/>
      <c r="G41" s="48"/>
      <c r="H41" s="36"/>
      <c r="I41" s="59"/>
      <c r="J41" s="59"/>
    </row>
    <row r="42" ht="21.75" customHeight="1">
      <c r="A42" s="47">
        <v>30.0</v>
      </c>
      <c r="B42" s="59"/>
      <c r="C42" s="36"/>
      <c r="D42" s="59"/>
      <c r="E42" s="59"/>
      <c r="F42" s="48"/>
      <c r="G42" s="48"/>
      <c r="H42" s="36"/>
      <c r="I42" s="59"/>
      <c r="J42" s="59"/>
    </row>
    <row r="43" ht="21.75" customHeight="1">
      <c r="A43" s="47">
        <v>31.0</v>
      </c>
      <c r="B43" s="59"/>
      <c r="C43" s="36"/>
      <c r="D43" s="59"/>
      <c r="E43" s="59"/>
      <c r="F43" s="48"/>
      <c r="G43" s="48"/>
      <c r="H43" s="36"/>
      <c r="I43" s="59"/>
      <c r="J43" s="59"/>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2:$J$43"/>
  <mergeCells count="9">
    <mergeCell ref="B9:J9"/>
    <mergeCell ref="A11:J11"/>
    <mergeCell ref="A1:J1"/>
    <mergeCell ref="A2:J2"/>
    <mergeCell ref="A4:J4"/>
    <mergeCell ref="B5:J5"/>
    <mergeCell ref="B6:J6"/>
    <mergeCell ref="B7:J7"/>
    <mergeCell ref="B8:J8"/>
  </mergeCells>
  <dataValidations>
    <dataValidation type="list" allowBlank="1" sqref="C13:C43">
      <formula1>"MC meeting,Report,Review,Ad-hoc"</formula1>
    </dataValidation>
    <dataValidation type="list" allowBlank="1" sqref="D13:D43">
      <formula1>"General,T1,T2,T3,T4"</formula1>
    </dataValidation>
    <dataValidation type="list" allowBlank="1" sqref="E13:E43">
      <formula1>"Approved,Confirmed,Reported,Deferred,Rejected"</formula1>
    </dataValidation>
    <dataValidation type="list" allowBlank="1" sqref="J13:J43">
      <formula1>"Open,Done"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2026-09-23T08:27:02Z</dcterms:created>
  <dc:creator>openpyxl</dc:creator>
</cp:coreProperties>
</file>