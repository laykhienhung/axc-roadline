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Summary" sheetId="1" r:id="rId4"/>
    <sheet state="visible" name="T1 Apply" sheetId="2" r:id="rId5"/>
    <sheet state="visible" name="T2 Adoption" sheetId="3" r:id="rId6"/>
    <sheet state="visible" name="T3 Management" sheetId="4" r:id="rId7"/>
    <sheet state="visible" name="T4 Technology" sheetId="5" r:id="rId8"/>
    <sheet state="visible" name="Meeting Log" sheetId="6" r:id="rId9"/>
    <sheet state="visible" name="Note" sheetId="7" r:id="rId10"/>
  </sheets>
  <definedNames>
    <definedName hidden="1" localSheetId="5" name="_xlnm._FilterDatabase">'Meeting Log'!$A$12:$J$43</definedName>
  </definedNames>
  <calcPr/>
  <extLst>
    <ext uri="GoogleSheetsCustomDataVersion2">
      <go:sheetsCustomData xmlns:go="http://customooxmlschemas.google.com/" r:id="rId11" roundtripDataChecksum="eg4cvjpI6gQ5iohjNmtClDpjt+vuP9v+dfpNcfFQlr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3">
      <text>
        <t xml:space="preserve">Used by HR but not yet stable: Google Drive permission blocker, and HR wants one central system. API budget requested for a 3-month pilot, Oct-Dec 2026, hard limit $20/month. The "8 out of 10 CVs" measure has not been measured yet. Source: MoM AXC MC 28/08/2026, 3.1-3.2; AXC ticket AI API Budget - CV Screening (18/09/2026).
======</t>
      </text>
    </comment>
    <comment authorId="0" ref="H22">
      <text>
        <t xml:space="preserve">CV screening tool already in use by the recruitment team, saving about 30% of screening time. Source: MoM AXC MC 28/08/2026, 3.1.
======</t>
      </text>
    </comment>
    <comment authorId="0" ref="H21">
      <text>
        <t xml:space="preserve">Jira email &gt; Google Chat &gt; central Google Sheet workflow demoed at the MC meeting; more than 20 workflows created with the BP team. Source: MoM AXC MC 28/08/2026, 3.3-3.4.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4">
      <text>
        <t xml:space="preserve">Joint work already running with BP (workflows, extra AI accounts), C-Office, and Fine-Chemical (AI adoption report reviewed by AXC). Source: MoM AXC MC 28/08/2026, 4; Fine-Chemical_AI_Documentation_Chain.pptx; AI_Adoption_Summary_2Projects.pptx.
======</t>
      </text>
    </comment>
    <comment authorId="0" ref="H22">
      <text>
        <t xml:space="preserve">Material and use cases shared with BP; AXC worked alongside project teams for two weeks. No published session schedule yet. Source: MoM AXC MC 28/08/2026, 3.3 and 4.
======</t>
      </text>
    </comment>
    <comment authorId="0" ref="H32">
      <text>
        <t xml:space="preserve">Materials ready in Google Drive: AI Solution &gt; AI Training Materials: AI_Foundation_Basic, AI_Foundation_Advanced, How AI Actually Works, Claude_Agent_Skills_Guide, and demos (AI knowledge system, Workspace Studio, AI-Assisted Convert Task, QC AI Auto Test, QC AI Manual Test).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1">
      <text>
        <t xml:space="preserve">Allocation standard AXC-STD-AI-001 drafted 17/09/2026: quota in USD per person per month, 3 role groups x 3 tiers. Awaiting approval. Source: AI_Cost_Quota_Standard_by_Role.md.
======</t>
      </text>
    </comment>
    <comment authorId="0" ref="H20">
      <text>
        <t xml:space="preserve">About 180 AI accounts counted; a full per-account inventory is not recorded yet. Source: MoM AXC MC 28/08/2026, 6.
======</t>
      </text>
    </comment>
    <comment authorId="0" ref="H32">
      <text>
        <t xml:space="preserve">3 projects assessed and reported at the MC meeting. Note: the MoM reports about 3.54 across these 3 projects, while this plan uses 2.96 company-wide - reconcile before publishing. Source: MoM AXC MC 28/08/2026, 5. AML sheets in Google Drive: AI Solution &gt; AI Maturity Level: BluePrint, WebCash-HRM, CARIS.
======</t>
      </text>
    </comment>
    <comment authorId="0" ref="H25">
      <text>
        <t xml:space="preserve">MC decided AML applies at individual level and feeds KPI, performance reviews and hiring from 2027 (Decision 5). The criteria document with HR is not drafted yet. Source: MoM AXC MC 28/08/2026, 5.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0">
      <text>
        <t xml:space="preserve">AXC already publishes research and guides, for example Cursor_Usage_Warning_Guide and Cursor_Cost_Overrun_Report (16/09), Claude-project-instructions-memory-context (11/08), AI_Maturity_Levels (12/06). Not all of them are public. Source: Google Drive: AI Solution &gt; Report &amp; Research.
======</t>
      </text>
    </comment>
  </commentList>
</comments>
</file>

<file path=xl/sharedStrings.xml><?xml version="1.0" encoding="utf-8"?>
<sst xmlns="http://schemas.openxmlformats.org/spreadsheetml/2006/main" count="821" uniqueCount="462">
  <si>
    <t>AXC TEAM - OBJECTIVES AND ACTION PLAN</t>
  </si>
  <si>
    <t>T2 - Drive Adoption Across Teams</t>
  </si>
  <si>
    <t>T1 - Apply AI to Everyday Work</t>
  </si>
  <si>
    <t>Annual plan  |  September 2026 - August 2027  |  Q1 Sep-Nov 26 . Q2 Dec-Feb 27 . Q3 Mar-May 27 . Q4 Jun-Aug 27</t>
  </si>
  <si>
    <t>T3 - AI Management</t>
  </si>
  <si>
    <t>Weight</t>
  </si>
  <si>
    <t>1  AXC OVERVIEW</t>
  </si>
  <si>
    <t>Owner</t>
  </si>
  <si>
    <t>Team</t>
  </si>
  <si>
    <t>Coordinator</t>
  </si>
  <si>
    <t>AI Specialist</t>
  </si>
  <si>
    <t>Status</t>
  </si>
  <si>
    <t>AI Transformation Team (AXC)</t>
  </si>
  <si>
    <t>AXC Lead + Coordinator</t>
  </si>
  <si>
    <t>On track</t>
  </si>
  <si>
    <t>What we are here to do</t>
  </si>
  <si>
    <t>Weight shows how heavy and how high a priority this target is relative to the other three. It is not a score.</t>
  </si>
  <si>
    <t>AXC gets AI genuinely used in how the company builds software and runs its operations - not by researching AI or building AI products to sell, but by taking AI that already exists and putting it to work inside our own teams. Five kinds of work:
  -   Automate routine work using AI tools that already exist
  -   Set up a library of ready-made templates and tools
  -   Train everyone in the company to use AI in their own role
  -   Work with each project team so AI becomes a normal step in how they build software
  -   Keep AI accounts, spending and data rules under control, with a person responsible for what AI produces
We are judged on whether AI is actually being used, not on what was delivered.</t>
  </si>
  <si>
    <t>1  OBJECTIVE</t>
  </si>
  <si>
    <t>2  TARGETS &amp; EXPECTED OUTCOMES</t>
  </si>
  <si>
    <t>ID</t>
  </si>
  <si>
    <t>Get AI into the day-to-day work of the project teams, and into the hands of everyone else in the company. One named contact in each team plus a regular schedule of sharing sessions, so AI becomes a written step in how they build software rather than a personal habit; and a company-wide training programme at three levels, tailored by role. Training counts as successful only when the person actually starts using AI afterwards, and internal trainers are developed early because a team of three cannot train a company on its own.</t>
  </si>
  <si>
    <t>Put existing AI tools to work in everyday tasks, together with the shared setup underneath them. Automation tools take routine work off each team's hands; the template library stops every team solving the same problem from scratch. Nothing is started until the team that will use it confirms it needs it, and success is judged by whether people are still using it months later.</t>
  </si>
  <si>
    <t>Target</t>
  </si>
  <si>
    <t>Objective</t>
  </si>
  <si>
    <t>Expected outcomes by Q4 2027</t>
  </si>
  <si>
    <t>Keep AI use under control and make progress visible to management. Govern who has an AI account, why, what they may spend and what data they may put into it - with a person always reviewing and answerable for AI-produced work. Alongside that, score how far each project has actually come across six areas measured out of 5, published on one dashboard. The governance work delivers exactly what the measurement work scores as the weakest area today.</t>
  </si>
  <si>
    <t>Progress</t>
  </si>
  <si>
    <t>T1</t>
  </si>
  <si>
    <t>2  WHAT THIS MUST ACHIEVE</t>
  </si>
  <si>
    <t>Apply AI to Everyday Work</t>
  </si>
  <si>
    <t>Confirm what each team actually needs before setting anything up for them.</t>
  </si>
  <si>
    <t>Get one named contact from every project team, starting with the two largest groups.</t>
  </si>
  <si>
    <t>Standardise who gets an AI account, why, and how much they may spend.</t>
  </si>
  <si>
    <t>Run sharing sessions regularly rather than on request.</t>
  </si>
  <si>
    <t>Deliver 1-2 items a month that users have actually tested.</t>
  </si>
  <si>
    <t>-  Automation workflows
-  Shared templates &amp; tools</t>
  </si>
  <si>
    <t>Make sure a person always reviews AI-produced work before it is used, and that someone is named as responsible.</t>
  </si>
  <si>
    <t>-  5 workflows in live use
-  CV tool: 8 in 10 CVs
-  3 shared assets in use
-  3 processes 20% faster</t>
  </si>
  <si>
    <t>Aim for AI to become a normal, written step in how each team builds software.</t>
  </si>
  <si>
    <t>Make sure each tool is genuinely used after it goes live - delivery alone does not count as success.</t>
  </si>
  <si>
    <t>Train everyone in the company, not only the development teams.</t>
  </si>
  <si>
    <t>Set clear rules on what company data may and may not be put into AI tools.</t>
  </si>
  <si>
    <t>Keep collecting feedback from the teams using the tools, and improve on it.</t>
  </si>
  <si>
    <t>Tailor the training to each kind of role and offer three levels of depth.</t>
  </si>
  <si>
    <t>Count training as successful only when the person actually starts using AI afterwards.</t>
  </si>
  <si>
    <t>Deliver the CV screening tool to the HR office.</t>
  </si>
  <si>
    <t>Grow internal trainers so the programme does not depend on AXC alone.</t>
  </si>
  <si>
    <t>Never set up a shared asset without at least one project committed to using it.</t>
  </si>
  <si>
    <t>T2</t>
  </si>
  <si>
    <t>Drive Adoption Across Teams</t>
  </si>
  <si>
    <t>Agree with HR how AI skill is reflected in performance reviews and in hiring.</t>
  </si>
  <si>
    <t>3  ACTION PLAN</t>
  </si>
  <si>
    <t>-  Named contact per team
-  Sharing sessions &amp; joint use cases
-  AI in the dev process
-  Company-wide training
-  Internal trainers</t>
  </si>
  <si>
    <t>-  3 teams engaged
-  2 projects with AI in their process
-  30% of staff trained (basic)
-  70% of trainees using AI
-  3 internal trainers</t>
  </si>
  <si>
    <t>Keep every asset documented, versioned and owned - and retire the ones nobody uses.</t>
  </si>
  <si>
    <t>Score every project on a fixed schedule, not only when asked.</t>
  </si>
  <si>
    <t>#</t>
  </si>
  <si>
    <t>Quarter</t>
  </si>
  <si>
    <t>Action</t>
  </si>
  <si>
    <t>Deliverable</t>
  </si>
  <si>
    <t>Success measure</t>
  </si>
  <si>
    <t>Due</t>
  </si>
  <si>
    <t>Turn each round of scoring into an action plan with a named owner - a score with no action is wasted.</t>
  </si>
  <si>
    <t>A.  Cross-project collaboration</t>
  </si>
  <si>
    <t>Report the company-wide picture on one dashboard that management can read at a glance.</t>
  </si>
  <si>
    <t>T3</t>
  </si>
  <si>
    <t>AI Management</t>
  </si>
  <si>
    <t>Q1</t>
  </si>
  <si>
    <t>-  AI account &amp; cost control
-  Data rule for AI tools
-  Human review of AI output
-  AML company-wide &amp; dashboard</t>
  </si>
  <si>
    <t>Map every group and project, and agree one named contact per group</t>
  </si>
  <si>
    <t>-  100% of accounts mapped
-  Cost per user down 10%
-  Zero data incidents
-  AML in every project (3 today)
-  AML 2.96 to 3.20</t>
  </si>
  <si>
    <t>Group map + contact list</t>
  </si>
  <si>
    <t>Every group in scope has a named contact</t>
  </si>
  <si>
    <t>A.  Automation workflows</t>
  </si>
  <si>
    <t>Nov 2026</t>
  </si>
  <si>
    <t>A.  Governance, accounts &amp; cost</t>
  </si>
  <si>
    <t>Kick off with ESG and LSG</t>
  </si>
  <si>
    <t>Two groups running</t>
  </si>
  <si>
    <t>ESG and LSG live in Q1</t>
  </si>
  <si>
    <t>T4</t>
  </si>
  <si>
    <t>Track &amp; Share New AI</t>
  </si>
  <si>
    <t>ongoing</t>
  </si>
  <si>
    <t>Run sharing sessions and workshops on a published schedule</t>
  </si>
  <si>
    <t>Session records</t>
  </si>
  <si>
    <t>6 sessions across the year, one every two months</t>
  </si>
  <si>
    <t>-  AI tools view
-  Share new AI tools &amp; tricks
-  Try out before sharing
-  Research reports: public / internal</t>
  </si>
  <si>
    <t>quarterly</t>
  </si>
  <si>
    <t>-  Tools view, updated quarterly
-  2 posts a month
-  3 live update sessions
-  Every research report labelled</t>
  </si>
  <si>
    <t>AI Specialist + Coordinator</t>
  </si>
  <si>
    <t>Inventory candidate processes across all teams and survey duties and pain points, ESG and LSG first</t>
  </si>
  <si>
    <t>In progress</t>
  </si>
  <si>
    <t>Q3</t>
  </si>
  <si>
    <t>Bring in the third group</t>
  </si>
  <si>
    <t>Process inventory + needs survey</t>
  </si>
  <si>
    <t>3 groups engaged</t>
  </si>
  <si>
    <t>3 groups actively taking part by year end</t>
  </si>
  <si>
    <t>Every team in scope covered</t>
  </si>
  <si>
    <t>May 2027</t>
  </si>
  <si>
    <t>Q2</t>
  </si>
  <si>
    <t>Start joint use cases with the participating groups</t>
  </si>
  <si>
    <t>Joint use cases running</t>
  </si>
  <si>
    <t>4 joint use cases across the year, delivered jointly and not by AXC alone</t>
  </si>
  <si>
    <t>Feb 2027</t>
  </si>
  <si>
    <t>TOTAL</t>
  </si>
  <si>
    <t>Set up the first workflow (Jira &gt; Google Chat &gt; Sheet)</t>
  </si>
  <si>
    <t>Inventory every AI account and token in use</t>
  </si>
  <si>
    <t>1 workflow live</t>
  </si>
  <si>
    <t>FY27-28</t>
  </si>
  <si>
    <t>Account inventory</t>
  </si>
  <si>
    <t>Started only after the using team confirmed the need and a utilization plan</t>
  </si>
  <si>
    <t>Form the AI champion network from the named contacts, meeting monthly</t>
  </si>
  <si>
    <t>AXC Lead</t>
  </si>
  <si>
    <t>Champion network running</t>
  </si>
  <si>
    <t>Done</t>
  </si>
  <si>
    <t>Next year</t>
  </si>
  <si>
    <t>Set up the second workflow: CV screening for HR</t>
  </si>
  <si>
    <t>CV screening workflow in use</t>
  </si>
  <si>
    <t>Draft the role, purpose and quota matrix and approve the allocation standard</t>
  </si>
  <si>
    <t>Bring in the fourth group</t>
  </si>
  <si>
    <t>Allocation standard approved</t>
  </si>
  <si>
    <t>4 groups engaged</t>
  </si>
  <si>
    <t>Every account linked to a person, a role and a purpose</t>
  </si>
  <si>
    <t>4 groups actively taking part by year end</t>
  </si>
  <si>
    <t>Q4</t>
  </si>
  <si>
    <t>Roll out the AI-in-development checklist to the first two groups</t>
  </si>
  <si>
    <t>Checklist adopted by 2 groups</t>
  </si>
  <si>
    <t>AI written into their own process, not left to individual habit; 2 projects using AI as a normal part of how they build software</t>
  </si>
  <si>
    <t>Roll out the CV screening workflow to the whole HR office</t>
  </si>
  <si>
    <t>Agree and approve the data rule - what may and may not be sent to AI tools</t>
  </si>
  <si>
    <t>Aug 2027</t>
  </si>
  <si>
    <t>CV screening used across the HR office</t>
  </si>
  <si>
    <t>Data rule approved</t>
  </si>
  <si>
    <t>9 in 10 members acknowledge it by Q3; zero data incidents all year</t>
  </si>
  <si>
    <t>8 out of 10 incoming CVs processed through the tool</t>
  </si>
  <si>
    <t>Extend the checklist to a third group</t>
  </si>
  <si>
    <t>Checklist adopted by 3 groups</t>
  </si>
  <si>
    <t>3 projects using AI as a normal part of how they build software, averaging 3 of the 7 development steps</t>
  </si>
  <si>
    <t>Bring the account registry live</t>
  </si>
  <si>
    <t>Registry live</t>
  </si>
  <si>
    <t>100% of accounts mapped to owner, role, purpose and project</t>
  </si>
  <si>
    <t>Review the year and run the satisfaction survey</t>
  </si>
  <si>
    <t>Review + survey results</t>
  </si>
  <si>
    <t>Satisfaction 4 out of 5</t>
  </si>
  <si>
    <t>Deliver the third workflow</t>
  </si>
  <si>
    <t>Set up a human review step for AI output with the first project</t>
  </si>
  <si>
    <t>B.  Company-wide training</t>
  </si>
  <si>
    <t>Review step + named owner, first project</t>
  </si>
  <si>
    <t>A person checks AI output before use, and one person is answerable for it</t>
  </si>
  <si>
    <t>Same needs-confirmed gate as the first</t>
  </si>
  <si>
    <t>Agree with HR how AI skill is reflected in performance reviews and hiring</t>
  </si>
  <si>
    <t>Agreed criteria document</t>
  </si>
  <si>
    <t>AXC Lead + HR</t>
  </si>
  <si>
    <t>Track weekly use of every live workflow</t>
  </si>
  <si>
    <t>Run the company-wide baseline skill survey</t>
  </si>
  <si>
    <t>Usage tracking live</t>
  </si>
  <si>
    <t>Baseline results</t>
  </si>
  <si>
    <t>Establishes the starting point for the year</t>
  </si>
  <si>
    <t>8 in 10 target users active at least weekly, one month after launch; user feedback collected monthly</t>
  </si>
  <si>
    <t>Coordinator + HR</t>
  </si>
  <si>
    <t>Apply the human review step to every assessed project</t>
  </si>
  <si>
    <t>Review step in all assessed projects</t>
  </si>
  <si>
    <t>Every assessed project has a review step and a named owner for AI output</t>
  </si>
  <si>
    <t>Prepare the training materials by level and role</t>
  </si>
  <si>
    <t>Training materials v1.0</t>
  </si>
  <si>
    <t>Basic and Advanced decks, plus role demos (QC testing, knowledge system, Workspace)</t>
  </si>
  <si>
    <t>Deliver the fourth workflow</t>
  </si>
  <si>
    <t>Take back unused AI accounts and check the data rule is followed</t>
  </si>
  <si>
    <t>Unused accounts taken back + data-rule check</t>
  </si>
  <si>
    <t>Unused accounts at or below 10%; 9 in 10 taken back or reassigned within a month</t>
  </si>
  <si>
    <t>Agree with HR how training is run - schedule, format, sign-up, and where the materials are published</t>
  </si>
  <si>
    <t>Training plan agreed with HR</t>
  </si>
  <si>
    <t>Agreed before the pilot starts</t>
  </si>
  <si>
    <t>Publish the monthly usage and cost report</t>
  </si>
  <si>
    <t>12 monthly reports</t>
  </si>
  <si>
    <t>All 12 on time; total cost within budget; cost per active user down 10%</t>
  </si>
  <si>
    <t>monthly</t>
  </si>
  <si>
    <t>Pilot the basic level with one or two departments</t>
  </si>
  <si>
    <t>Pilot delivered</t>
  </si>
  <si>
    <t>Propose next year's AI budget</t>
  </si>
  <si>
    <t>Budget proposal</t>
  </si>
  <si>
    <t>Roll out the basic level on a published schedule</t>
  </si>
  <si>
    <t>Run a feedback round on every running workflow and act on what comes back</t>
  </si>
  <si>
    <t>Basic level running company-wide</t>
  </si>
  <si>
    <t>3 in 10 of all staff completing it by year end</t>
  </si>
  <si>
    <t>Feedback log + changes made</t>
  </si>
  <si>
    <t>B.  Maturity measurement &amp; reporting</t>
  </si>
  <si>
    <t>Train 3 internal trainers</t>
  </si>
  <si>
    <t>At least one round per workflow per quarter</t>
  </si>
  <si>
    <t>3 internal trainers</t>
  </si>
  <si>
    <t>3 trainers able to run courses themselves</t>
  </si>
  <si>
    <t>Start the applied level with the development teams</t>
  </si>
  <si>
    <t>Applied level running</t>
  </si>
  <si>
    <t>3 in 10 development staff completing it</t>
  </si>
  <si>
    <t>Measure time saved on the processes the workflows touch</t>
  </si>
  <si>
    <t>Update the AML framework (v1.1) and publish a self-assessment guide for every project</t>
  </si>
  <si>
    <t>Impact measurement</t>
  </si>
  <si>
    <t>AML framework v1.1 + guide</t>
  </si>
  <si>
    <t>3 processes measurably 20% faster</t>
  </si>
  <si>
    <t>Ready before the company-wide rollout</t>
  </si>
  <si>
    <t>Hand most basic-level delivery to the internal trainers</t>
  </si>
  <si>
    <t>Trainers delivering</t>
  </si>
  <si>
    <t>Check that trainees actually use AI after the course</t>
  </si>
  <si>
    <t>Deliver the fifth workflow</t>
  </si>
  <si>
    <t>Usage check after training</t>
  </si>
  <si>
    <t>Score the first 3 projects with AML</t>
  </si>
  <si>
    <t>7 in 10 trainees using AI within 30 days of the course</t>
  </si>
  <si>
    <t>AML baseline for 3 projects</t>
  </si>
  <si>
    <t>5 workflows in live use across the year, CV screening included</t>
  </si>
  <si>
    <t>3 projects scored by Q2</t>
  </si>
  <si>
    <t>Deliver training sessions and keep the module library current</t>
  </si>
  <si>
    <t>Session log + modules</t>
  </si>
  <si>
    <t>8 sessions across the year; materials kept up to date; 85% completion of enrolled courses; 80% assessment pass; satisfaction 4 out of 5</t>
  </si>
  <si>
    <t>Review the whole set and retire anything that is not being used</t>
  </si>
  <si>
    <t>Retirement decisions</t>
  </si>
  <si>
    <t>Launch the AML dashboard for all assessed projects</t>
  </si>
  <si>
    <t>9 in 10 workflows still in use three months after launch</t>
  </si>
  <si>
    <t>AML dashboard live</t>
  </si>
  <si>
    <t>One page showing every project's AI maturity</t>
  </si>
  <si>
    <t>Review the training year and update the curriculum (v2.0)</t>
  </si>
  <si>
    <t>Training review + curriculum v2.0</t>
  </si>
  <si>
    <t>Weakest role group closer to the strongest: skill gap 0.50 to 0.40</t>
  </si>
  <si>
    <t>Produce the value report</t>
  </si>
  <si>
    <t>Value report</t>
  </si>
  <si>
    <t>Produce an action plan with a named owner for every assessed project</t>
  </si>
  <si>
    <t>Covers utilization, time saved and three-month survival of every tool; 9 in 10 still in use three months after launch</t>
  </si>
  <si>
    <t>Action plan per project</t>
  </si>
  <si>
    <t>100% of projects - a score with no action is wasted</t>
  </si>
  <si>
    <t>B.  Shared tools &amp; templates</t>
  </si>
  <si>
    <t>Roll AML out company-wide - every project self-assesses with the guide, AXC checks the result</t>
  </si>
  <si>
    <t>AML running in all projects</t>
  </si>
  <si>
    <t>Every active project scored at least once by year end</t>
  </si>
  <si>
    <t>Release the shared prompt library as the first asset</t>
  </si>
  <si>
    <t>ACTIONS DONE</t>
  </si>
  <si>
    <t>Run assessment round two and compare the trend against baseline</t>
  </si>
  <si>
    <t>Round 2 results</t>
  </si>
  <si>
    <t>Two rounds per project per year, 9 in 10 completed on schedule</t>
  </si>
  <si>
    <t>1 asset released</t>
  </si>
  <si>
    <t>Drive every project's control score to 3.0 or above</t>
  </si>
  <si>
    <t>Control remediation</t>
  </si>
  <si>
    <t>The weakest of the six areas, standing at 2.0 today</t>
  </si>
  <si>
    <t>Release two more assets</t>
  </si>
  <si>
    <t>Coordinator + AXC Lead</t>
  </si>
  <si>
    <t>2 assets released</t>
  </si>
  <si>
    <t>3 assets released across the year, each used by at least one project</t>
  </si>
  <si>
    <t>Run the year-end AML round across all projects</t>
  </si>
  <si>
    <t>Sized for the team we actually have: 3 people for the whole year. Every figure in this plan is set against that capacity rather than an ideal team. Work that does not fit is marked FY27-28 on each target sheet and moves to next year's plan rather than being quietly missed; if the team grows, it is brought forward at the next quarter review.</t>
  </si>
  <si>
    <t>Year-end results</t>
  </si>
  <si>
    <t>Every active project scored; 3 meeting the minimum in all six areas</t>
  </si>
  <si>
    <t>Onboard ESG and LSG as the first users of the catalog</t>
  </si>
  <si>
    <t>2 teams using shared assets</t>
  </si>
  <si>
    <t>Publish the AML progress report</t>
  </si>
  <si>
    <t>AML progress report</t>
  </si>
  <si>
    <t>3  HOW THIS PLAN WORKS</t>
  </si>
  <si>
    <t>Company-wide score up from 2.96 to 3.20 out of 5</t>
  </si>
  <si>
    <t>-  Weight shows how heavy and how high a priority each target is relative to the others. The four weights add up to 100%. It is a priority signal, not a score.</t>
  </si>
  <si>
    <t>Pilot internal document search</t>
  </si>
  <si>
    <t>Pilot running</t>
  </si>
  <si>
    <t>Pilot only this year; production next year</t>
  </si>
  <si>
    <t>-  Each target sheet holds its actions in quarter order. Every action names what it delivers, and where there is a number to hit, the Success measure column states it.</t>
  </si>
  <si>
    <t>Assess multi-step AI agents for next year</t>
  </si>
  <si>
    <t>-  Progress is the share of that target's actions marked Done. It counts what is finished, not how much effort went in.</t>
  </si>
  <si>
    <t>Assessment note</t>
  </si>
  <si>
    <t>Assessment only - piloting needs more capacity than we have this year</t>
  </si>
  <si>
    <t>-  Status is set by the target owner on their own sheet - Not started, On track, At risk, Behind or Done. Progress counts; status judges.</t>
  </si>
  <si>
    <t>Release the final asset</t>
  </si>
  <si>
    <t>6 assets released across the year</t>
  </si>
  <si>
    <t>4 projects using at least one asset, average reuse 2 projects per asset</t>
  </si>
  <si>
    <t>-  Actions marked 'ongoing' run through the whole year rather than landing in one quarter. Actions marked 'FY27-28' are deferred to next year's plan and are not counted in Progress.</t>
  </si>
  <si>
    <t>4  HOW WE WILL DO IT</t>
  </si>
  <si>
    <t>4  HOW TO USE THIS FILE</t>
  </si>
  <si>
    <t>Each target has its own sheet (T1 to T4) holding its objective, action plan, approach, dependencies, risks and change history.</t>
  </si>
  <si>
    <t>One named contact per group - the same people serve as the maturity contacts in T3; a formal champion network follows next year.</t>
  </si>
  <si>
    <t>A standard AI-in-development checklist covering the seven steps from requirements through to deployment.</t>
  </si>
  <si>
    <t>Owners fill in only the yellow cells on their own sheet - the Status of each action, and the target Status at the top.</t>
  </si>
  <si>
    <t>An open action and blocker tracker visible to every participating group.</t>
  </si>
  <si>
    <t>This summary updates itself from the four target sheets. Do not type into it.</t>
  </si>
  <si>
    <t>To add an action, use one of the two spare rows at the end of the action table rather than inserting a row, and record what you changed in that sheet's Change History.</t>
  </si>
  <si>
    <t>Three training levels branching by role, combining live workshops with self-paced material in the T1 catalog.</t>
  </si>
  <si>
    <t>Update statuses monthly; review fully at each quarter end.</t>
  </si>
  <si>
    <t>Train-the-trainer run in Q3, straight after the basic-level pilot, because company-wide delivery cannot rest on AXC alone.</t>
  </si>
  <si>
    <t>Record every approval, confirmation and report from a meeting on the Meeting Log sheet.</t>
  </si>
  <si>
    <t>5  DOCUMENT CONTROL</t>
  </si>
  <si>
    <t>Course completion tied to AI account provisioning under T3, so training turns into real use, not a certificate.</t>
  </si>
  <si>
    <t>Version</t>
  </si>
  <si>
    <t>2.1</t>
  </si>
  <si>
    <t>Escalation through management for groups that accept a contact but do not take part.</t>
  </si>
  <si>
    <t>Period</t>
  </si>
  <si>
    <t>September 2026 - August 2027</t>
  </si>
  <si>
    <t>5  WHAT THIS DEPENDS ON</t>
  </si>
  <si>
    <t>Prepared by</t>
  </si>
  <si>
    <t>AXC Team</t>
  </si>
  <si>
    <t>4  MATURITY AREAS - SCORE TODAY AND WHO IMPROVES IT</t>
  </si>
  <si>
    <t>T1 - shared tools and templates give each group something concrete to adopt, and host the training material</t>
  </si>
  <si>
    <t>Last updated</t>
  </si>
  <si>
    <t>28/09/2026</t>
  </si>
  <si>
    <t>T3 - account provisioning is how training converts into real use, and supplies the usage data</t>
  </si>
  <si>
    <t>Area measured</t>
  </si>
  <si>
    <t>Next review</t>
  </si>
  <si>
    <t>End of Q1 (November 2026)</t>
  </si>
  <si>
    <t>HR - joint owner for training scheduling and participation</t>
  </si>
  <si>
    <t>Today</t>
  </si>
  <si>
    <t>Minimum</t>
  </si>
  <si>
    <t>Goal</t>
  </si>
  <si>
    <t>6  LINK TO THE MATURITY SCORE</t>
  </si>
  <si>
    <t>Improved by</t>
  </si>
  <si>
    <t>Our aim</t>
  </si>
  <si>
    <t>1. How much of the work AI does</t>
  </si>
  <si>
    <t>Raises Axis 3 (how widely AI is used, in particular whether it is written into the team's own process) and Axis 4 (how skilled people are, currently 3.38). Also narrows the gap between the strongest and weakest role groups, which stood at 0.50 in the last assessment.</t>
  </si>
  <si>
    <t>7  RISK &amp; MITIGATION</t>
  </si>
  <si>
    <t>Risk</t>
  </si>
  <si>
    <t>2. Whether quality holds up</t>
  </si>
  <si>
    <t>How we handle it</t>
  </si>
  <si>
    <t>T1, T2</t>
  </si>
  <si>
    <t>A group accepts a contact but never takes part</t>
  </si>
  <si>
    <t>3. How widely AI is used</t>
  </si>
  <si>
    <t>Engagement is the measure, not assignment; the satisfaction survey and escalation cover the rest</t>
  </si>
  <si>
    <t>4. How skilled people are</t>
  </si>
  <si>
    <t>Staff complete training but never use AI</t>
  </si>
  <si>
    <t>Conversion into an active account within 30 days is the measure, not course completion</t>
  </si>
  <si>
    <t>T2, T4</t>
  </si>
  <si>
    <t>5. Whether people stay in control</t>
  </si>
  <si>
    <t>The programme depends entirely on AXC to deliver</t>
  </si>
  <si>
    <t>Three internal trainers by Q3, trained straight after the basic-level pilot</t>
  </si>
  <si>
    <t>8  CHANGE HISTORY</t>
  </si>
  <si>
    <t>6. What the team has built for itself</t>
  </si>
  <si>
    <t>Log every change to this target here - an action added or dropped, a success measure revised, a date moved, or a change of scope. Keep the original wording in the Reason column.</t>
  </si>
  <si>
    <t>Scores are out of 5. A project counts as genuinely applying AI once it reaches 3. Company-wide score today 2.96, aim 3.20.</t>
  </si>
  <si>
    <t>Workflow Register recording owner, timeline, status, utilization and last-active date for every tool.</t>
  </si>
  <si>
    <t>Date</t>
  </si>
  <si>
    <t>One business contact on the consuming team for every workflow.</t>
  </si>
  <si>
    <t>What changed</t>
  </si>
  <si>
    <t>5  HOW WE WILL DO IT</t>
  </si>
  <si>
    <t>Reason</t>
  </si>
  <si>
    <t>Updated by (role)</t>
  </si>
  <si>
    <t>Telemetry switched on from the day of deployment; utilization reviewed monthly.</t>
  </si>
  <si>
    <t>Account registry recording owner, role, purpose, project, quota and last-active date.</t>
  </si>
  <si>
    <t>A documented way to retire any tool that falls below the utilization threshold.</t>
  </si>
  <si>
    <t>Baseline status for work under way before the plan started: #4 and #6 In progress</t>
  </si>
  <si>
    <t>Usage and cost reporting automated from the provider console.</t>
  </si>
  <si>
    <t>Evidence in the note on each Status cell</t>
  </si>
  <si>
    <t>A shared folder of templates, each with a short guide, an owner and a version.</t>
  </si>
  <si>
    <t>Request, approve, provision and review as one documented process, with a quarterly reclaim cycle.</t>
  </si>
  <si>
    <t>Rescheduled for 3 people: #5, #9, #13, #14, #15, #16, #19 moved later; #3, #7, #8, #10, #17, #18 deferred to FY27-28</t>
  </si>
  <si>
    <t>Rollout order chosen by benefit against cost: the shared prompt library and ready-made templates first this year; the data-rule controls, a pilot of internal document search and a look at multi-step agents follow next year.</t>
  </si>
  <si>
    <t>Team stays at 3 people all year; the plan was sized for 5 from December 2026</t>
  </si>
  <si>
    <t>A review gate saying which output types must be checked before use, who checks, and where it is recorded - written into the development checklist owned by T2.</t>
  </si>
  <si>
    <t>Two-way contribution through the named contacts in T2 opens next year - project teams contribute back, AXC standardises.</t>
  </si>
  <si>
    <t>Skill-gap aim eased from 0.35 to 0.40</t>
  </si>
  <si>
    <t>Planned gain scaled by the share of actions kept this year after rescheduling for 3 people</t>
  </si>
  <si>
    <t>An accountability matrix mapping every AI output type to one named owner.</t>
  </si>
  <si>
    <t>Removed deferred #3 (blocker tracker); renumbered; #16, #19, #21 reworded in plain language</t>
  </si>
  <si>
    <t>Remove or reword items that were hard to understand</t>
  </si>
  <si>
    <t>Self-assessment combined with verification, feeding a one-page dashboard: level distribution, trend by cycle, and how many projects meet the minimum.</t>
  </si>
  <si>
    <t>29/09/2026</t>
  </si>
  <si>
    <t>T2 - the named contact in each group supplies the business contact for each tool and the route to adoption</t>
  </si>
  <si>
    <t>Training materials marked Done (#12); new action: agree with HR how training is run and published</t>
  </si>
  <si>
    <t>T3 - the data rule defines what the shared tooling must enforce, and account allocation governs access</t>
  </si>
  <si>
    <t>Status update from the AXC Lead, 29/09/2026</t>
  </si>
  <si>
    <t>Account and usage data feeds the assessment directly, so projects declare less by hand.</t>
  </si>
  <si>
    <t>6  WHAT THIS DEPENDS ON</t>
  </si>
  <si>
    <t>T4 - selects and validates the technology each shared tool is based on</t>
  </si>
  <si>
    <t>T1 - the shared tooling applies the data rule technically</t>
  </si>
  <si>
    <t>HR - business contact for the CV screening workflow</t>
  </si>
  <si>
    <t>T2 - the review gate is written into the development checklist, and the named contacts run the assessments</t>
  </si>
  <si>
    <t>HR - joint owner of the performance-review and hiring criteria</t>
  </si>
  <si>
    <t>7  LINK TO THE MATURITY SCORE</t>
  </si>
  <si>
    <t>Raises Axis 1 (how much of the work AI does) and Axis 2 (whether quality holds up) through the automation tools, and Axis 6 (what the team has built for itself, currently 2.00) through the shared assets. Axis 1 cannot pass level 3 until multi-step agents exist, which is why assessing them is planned for next year.</t>
  </si>
  <si>
    <t>This target both delivers and measures. The governance work raises Axis 5 (whether people stay in control), currently 2.00 against a minimum of 3 and the weakest area in the framework. The measurement work scores all six areas and publishes the company-wide picture.</t>
  </si>
  <si>
    <t>8  RISK &amp; MITIGATION</t>
  </si>
  <si>
    <t>Set up but not used by the teams</t>
  </si>
  <si>
    <t>Nothing is started without a confirmed need and a utilization plan; utilization and three-month survival are success measures, not afterthoughts</t>
  </si>
  <si>
    <t>Shared templates not picked up by projects</t>
  </si>
  <si>
    <t>The review gate is skipped under deadline pressure</t>
  </si>
  <si>
    <t>Every template starts from a project that has asked for it</t>
  </si>
  <si>
    <t>Compliance audited in Q3; the control score explicitly measures whether the gate holds under pressure</t>
  </si>
  <si>
    <t>Assets accumulate and rot</t>
  </si>
  <si>
    <t>Six-month survival is measured and there is a documented way to retire dead assets</t>
  </si>
  <si>
    <t>Self-assessment inflation</t>
  </si>
  <si>
    <t>Verification and cross-project calibration before any score is published</t>
  </si>
  <si>
    <t>Cost grows faster than the value returned</t>
  </si>
  <si>
    <t>Cost per active user is tracked against budget, not absolute spend</t>
  </si>
  <si>
    <t>9  CHANGE HISTORY</t>
  </si>
  <si>
    <t>Baseline status for work under way before the plan started: #3 and #4 Done; #5 In progress</t>
  </si>
  <si>
    <t>Baseline status for work under way before the plan started: #12 Done; #1, #2 and #6 In progress</t>
  </si>
  <si>
    <t>Rescheduled for 3 people: #10, #14, #16, #17 moved later; #9, #12, #15, #18-#25 deferred to FY27-28</t>
  </si>
  <si>
    <t>Rescheduled for 3 people: #3, #5, #7, #11, #14 moved later; #15, #16 deferred to FY27-28</t>
  </si>
  <si>
    <t>Shared AI gateway action removed; later actions renumbered (#18-#26 became #17-#25)</t>
  </si>
  <si>
    <t>Gateway taken out of scope</t>
  </si>
  <si>
    <t>Removed #2 (backlog prioritisation) and #14 (tooling roadmap); removed deferred #15, #19, #21, #25; renumbered; #7 reworded</t>
  </si>
  <si>
    <t>Maturity aims eased: company-wide 3.30 to 3.20; areas 1-6 to 3.4 / 3.5 / 4.0 / 3.6 / 3.1 / 2.3</t>
  </si>
  <si>
    <t>Workflow count aligned: CV screening is the second workflow, so later workflows become third, fourth and fifth</t>
  </si>
  <si>
    <t>Same count as the roadmap slides; year total unchanged at 5</t>
  </si>
  <si>
    <t>T4 - Track &amp; Share New AI</t>
  </si>
  <si>
    <t>#5, #7, #8, #10, #11, #13, #18 reworded in plain language</t>
  </si>
  <si>
    <t>AML extended from 3 projects to company-wide: framework v1.1 comes with a self-assessment guide; new rollout action in Q3; year-end round covers all projects</t>
  </si>
  <si>
    <t>Keep the company up to date with new AI tools, models and practical tricks. AXC watches what is new, tries out what looks useful, and shares it with every team in a short, regular format, so people pick up what helps their own work without waiting for a formal programme. AXC research reports and tool comparisons are shared the same way, each marked public or internal-only.</t>
  </si>
  <si>
    <t>Keep an up-to-date view of the AI tools and models in use and worth watching.</t>
  </si>
  <si>
    <t>Share new AI tools, tricks and tips with the whole company on a regular schedule.</t>
  </si>
  <si>
    <t>Try out promising tools briefly before sharing, so what we share is tested, not hearsay.</t>
  </si>
  <si>
    <t>Keep everything shared in one place, each item marked public or internal-only.</t>
  </si>
  <si>
    <t>Pass what proves useful to training (T2) and to the shared templates (T1).</t>
  </si>
  <si>
    <t>Publish the AI tools view, version 1 - what is in use and what is worth watching</t>
  </si>
  <si>
    <t>Tools view published</t>
  </si>
  <si>
    <t>Open to all teams; updated each quarter from Q2</t>
  </si>
  <si>
    <t>Set up the sharing channel and a searchable archive of everything shared</t>
  </si>
  <si>
    <t>Channel + archive live</t>
  </si>
  <si>
    <t>One place every team can find what was shared</t>
  </si>
  <si>
    <t>Sort AXC research reports into public and internal-only, and publish the public ones in the archive</t>
  </si>
  <si>
    <t>Research index: public / internal</t>
  </si>
  <si>
    <t>Every report labelled; public ones findable by all teams</t>
  </si>
  <si>
    <t>Share new AI tools, tricks and tips with the company</t>
  </si>
  <si>
    <t>Regular posts</t>
  </si>
  <si>
    <t>At least 2 posts a month from Q2</t>
  </si>
  <si>
    <t>Run a short live AI update session each quarter</t>
  </si>
  <si>
    <t>3 sessions across the year, from Q2</t>
  </si>
  <si>
    <t>Try out promising new tools before sharing them</t>
  </si>
  <si>
    <t>Try-out notes</t>
  </si>
  <si>
    <t>One page per try-out: what it does, what it costs, who it suits</t>
  </si>
  <si>
    <t>Review the year - what was shared, what teams picked up - and update the view</t>
  </si>
  <si>
    <t>Year-end view + feedback</t>
  </si>
  <si>
    <t>Keeping-up-with-new-AI score up from 2.81 to 2.95 out of 5</t>
  </si>
  <si>
    <t>MEETING LOG - record of approvals, confirmations and reports</t>
  </si>
  <si>
    <t>A one-page tools view - in use, worth watching, not recommended - updated each quarter and open to all teams.</t>
  </si>
  <si>
    <t>One sharing channel for short posts: what the tool or trick is, what it helps with, and how to start.</t>
  </si>
  <si>
    <t>Add one row each time something is approved, confirmed, reported or deferred at a meeting. This is the written record of what was agreed, so decisions do not have to be reconstructed from memory later.</t>
  </si>
  <si>
    <t>A searchable archive, so anything shared can be found again later.</t>
  </si>
  <si>
    <t>Quick try-outs in a separate sandbox; no production or customer data in any tool not yet approved under T3.</t>
  </si>
  <si>
    <t>1  HOW TO FILL THIS IN</t>
  </si>
  <si>
    <t>Useful items passed to T2 for training material and to T1 for templates - no formal handover.</t>
  </si>
  <si>
    <t>A short live update each quarter for anyone who prefers to see it demonstrated.</t>
  </si>
  <si>
    <t>T2 - the training curriculum picks up what proves useful</t>
  </si>
  <si>
    <t>One row per decision, not one row per meeting. If a meeting approves two things, that is two rows.</t>
  </si>
  <si>
    <t>T3 - the data rule and cost limits bound what can be tried out</t>
  </si>
  <si>
    <t>T1 - useful tricks become shared templates</t>
  </si>
  <si>
    <t>Outcome says what happened: Approved (a decision was granted), Confirmed (an update was accepted), Reported (information given, nothing decided), Deferred (pushed to a later meeting), Rejected (turned down).</t>
  </si>
  <si>
    <t>Write what was actually said - keep the original wording rather than summarising it away.</t>
  </si>
  <si>
    <t>Raises the 'keeping up with new AI' measure inside Axis 4, which at 2.81 is the lowest-scoring single measure in the whole framework, with 13 of 43 people rating themselves at 2 or below.</t>
  </si>
  <si>
    <t>If the decision creates work, put it in the follow-up column with an owner and a due date, and set Status to Open. Change it to Done once closed.</t>
  </si>
  <si>
    <t>Use role names rather than personal names in the Owner column.</t>
  </si>
  <si>
    <t>2  LOG</t>
  </si>
  <si>
    <t>Meeting</t>
  </si>
  <si>
    <t>Outcome</t>
  </si>
  <si>
    <t>Sharing turns into noise nobody reads</t>
  </si>
  <si>
    <t>What was decided or reported</t>
  </si>
  <si>
    <t>Follow-up action</t>
  </si>
  <si>
    <t>Owner (role)</t>
  </si>
  <si>
    <t>Short posts, only items we have tried ourselves, and the archive shows what people actually open</t>
  </si>
  <si>
    <t>2026-09-24</t>
  </si>
  <si>
    <t>Try-out cost grows unchecked</t>
  </si>
  <si>
    <t>MC meeting</t>
  </si>
  <si>
    <t>Free or trial tiers only; anything paid needs approval under T3</t>
  </si>
  <si>
    <t>Confirmed</t>
  </si>
  <si>
    <t>EXAMPLE ROW - delete before use.  Automation backlog and per-item timeline accepted; asked that the two largest groups be surveyed first.</t>
  </si>
  <si>
    <t>Survey ESG and LSG duties before starting setup</t>
  </si>
  <si>
    <t>2026-10-15</t>
  </si>
  <si>
    <t>Rescheduled for 3 people (superseded by the change below)</t>
  </si>
  <si>
    <t>Target refocused on tracking and sharing new AI tools and tricks: review gate, free-alternative reviews, adoption proposals and owner handover removed; 6 actions this year</t>
  </si>
  <si>
    <t>The aim is simply to keep the company up to date and share what is useful, without a strict ownership process</t>
  </si>
  <si>
    <t>Target renamed from Track Technology to Track &amp; Share New AI</t>
  </si>
  <si>
    <t>The name now reflects that sharing with the company is the main job</t>
  </si>
  <si>
    <t>Research reports added: new action to sort them into public and internal-only; sharing marked In progress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</si>
</sst>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1.0"/>
      <color theme="1"/>
      <name val="Arial"/>
      <scheme val="minor"/>
    </font>
    <font>
      <b/>
      <sz val="16.0"/>
      <color rgb="FFFFFFFF"/>
      <name val="Arial"/>
    </font>
    <font/>
    <font>
      <b/>
      <sz val="14.0"/>
      <color rgb="FFFFFFFF"/>
      <name val="Arial"/>
    </font>
    <font>
      <b/>
      <sz val="10.0"/>
      <color rgb="FF000000"/>
      <name val="Arial"/>
    </font>
    <font>
      <b/>
      <sz val="9.0"/>
      <color rgb="FF000000"/>
      <name val="Arial"/>
    </font>
    <font>
      <b/>
      <sz val="11.0"/>
      <color rgb="FFFFFFFF"/>
      <name val="Arial"/>
    </font>
    <font>
      <b/>
      <sz val="11.0"/>
      <color rgb="FF000000"/>
      <name val="Arial"/>
    </font>
    <font>
      <sz val="10.0"/>
      <color rgb="FF000000"/>
      <name val="Arial"/>
    </font>
    <font>
      <i/>
      <sz val="9.0"/>
      <color rgb="FF595959"/>
      <name val="Arial"/>
    </font>
    <font>
      <sz val="9.0"/>
      <color rgb="FF000000"/>
      <name val="Arial"/>
    </font>
    <font>
      <sz val="9.0"/>
      <color rgb="FF595959"/>
      <name val="Arial"/>
    </font>
    <font>
      <i/>
      <sz val="9.0"/>
      <color rgb="FF8C8C8C"/>
      <name val="Arial"/>
    </font>
    <font>
      <b/>
      <i/>
      <sz val="9.0"/>
      <color rgb="FF8C8C8C"/>
      <name val="Arial"/>
    </font>
    <font>
      <i/>
      <sz val="10.0"/>
      <color rgb="FF8C8C8C"/>
      <name val="Arial"/>
    </font>
    <font>
      <b/>
      <sz val="12.0"/>
      <color rgb="FF000000"/>
      <name val="Arial"/>
    </font>
    <font>
      <b/>
      <sz val="10.0"/>
      <color rgb="FFC00000"/>
      <name val="Arial"/>
    </font>
    <font>
      <i/>
      <sz val="9.0"/>
      <color rgb="FF808080"/>
      <name val="Arial"/>
    </font>
  </fonts>
  <fills count="10">
    <fill>
      <patternFill patternType="none"/>
    </fill>
    <fill>
      <patternFill patternType="lightGray"/>
    </fill>
    <fill>
      <patternFill patternType="solid">
        <fgColor rgb="FF1F4E79"/>
        <bgColor rgb="FF1F4E79"/>
      </patternFill>
    </fill>
    <fill>
      <patternFill patternType="solid">
        <fgColor rgb="FFD9E2F3"/>
        <bgColor rgb="FFD9E2F3"/>
      </patternFill>
    </fill>
    <fill>
      <patternFill patternType="solid">
        <fgColor rgb="FF2E74B5"/>
        <bgColor rgb="FF2E74B5"/>
      </patternFill>
    </fill>
    <fill>
      <patternFill patternType="solid">
        <fgColor rgb="FFFFF2CC"/>
        <bgColor rgb="FFFFF2CC"/>
      </patternFill>
    </fill>
    <fill>
      <patternFill patternType="solid">
        <fgColor rgb="FFBDD7EE"/>
        <bgColor rgb="FFBDD7EE"/>
      </patternFill>
    </fill>
    <fill>
      <patternFill patternType="solid">
        <fgColor rgb="FFD6DCE4"/>
        <bgColor rgb="FFD6DCE4"/>
      </patternFill>
    </fill>
    <fill>
      <patternFill patternType="solid">
        <fgColor rgb="FFF2F2F2"/>
        <bgColor rgb="FFF2F2F2"/>
      </patternFill>
    </fill>
    <fill>
      <patternFill patternType="solid">
        <fgColor rgb="FFFCE4D6"/>
        <bgColor rgb="FFFCE4D6"/>
      </patternFill>
    </fill>
  </fills>
  <borders count="8">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2" fillId="0" fontId="2" numFmtId="0" xfId="0" applyBorder="1" applyFont="1"/>
    <xf borderId="3" fillId="0" fontId="2" numFmtId="0" xfId="0" applyBorder="1" applyFont="1"/>
    <xf borderId="1" fillId="2" fontId="3" numFmtId="0" xfId="0" applyAlignment="1" applyBorder="1" applyFill="1" applyFont="1">
      <alignment horizontal="left" vertical="top"/>
    </xf>
    <xf borderId="1" fillId="3" fontId="4" numFmtId="0" xfId="0" applyAlignment="1" applyBorder="1" applyFill="1" applyFont="1">
      <alignment horizontal="left" vertical="top"/>
    </xf>
    <xf borderId="4" fillId="3" fontId="5" numFmtId="0" xfId="0" applyAlignment="1" applyBorder="1" applyFill="1" applyFont="1">
      <alignment horizontal="left" vertical="top"/>
    </xf>
    <xf borderId="1" fillId="4" fontId="6" numFmtId="0" xfId="0" applyAlignment="1" applyBorder="1" applyFill="1" applyFont="1">
      <alignment horizontal="left" vertical="top"/>
    </xf>
    <xf borderId="4" fillId="0" fontId="7" numFmtId="9" xfId="0" applyAlignment="1" applyBorder="1" applyFont="1" applyNumberFormat="1">
      <alignment horizontal="center" vertical="top"/>
    </xf>
    <xf borderId="5" fillId="3" fontId="4" numFmtId="0" xfId="0" applyAlignment="1" applyBorder="1" applyFill="1" applyFont="1">
      <alignment horizontal="left" shrinkToFit="0" vertical="center" wrapText="1"/>
    </xf>
    <xf borderId="5" fillId="0" fontId="8" numFmtId="0" xfId="0" applyAlignment="1" applyBorder="1" applyFont="1">
      <alignment horizontal="left" vertical="top"/>
    </xf>
    <xf borderId="6" fillId="0" fontId="2" numFmtId="0" xfId="0" applyBorder="1" applyFont="1"/>
    <xf borderId="5" fillId="0" fontId="8" numFmtId="0" xfId="0" applyAlignment="1" applyBorder="1" applyFont="1">
      <alignment horizontal="left" shrinkToFit="0" vertical="top" wrapText="1"/>
    </xf>
    <xf borderId="7" fillId="0" fontId="2" numFmtId="0" xfId="0" applyBorder="1" applyFont="1"/>
    <xf borderId="5" fillId="5" fontId="8" numFmtId="0" xfId="0" applyAlignment="1" applyBorder="1" applyFill="1" applyFont="1">
      <alignment horizontal="center" vertical="top"/>
    </xf>
    <xf borderId="0" fillId="0" fontId="9" numFmtId="0" xfId="0" applyAlignment="1" applyFont="1">
      <alignment horizontal="left" vertical="top"/>
    </xf>
    <xf borderId="4" fillId="3" fontId="5" numFmtId="0" xfId="0" applyAlignment="1" applyBorder="1" applyFill="1" applyFont="1">
      <alignment horizontal="center" shrinkToFit="0" vertical="top" wrapText="1"/>
    </xf>
    <xf borderId="4" fillId="0" fontId="7" numFmtId="0" xfId="0" applyAlignment="1" applyBorder="1" applyFont="1">
      <alignment horizontal="center" vertical="center"/>
    </xf>
    <xf borderId="4" fillId="0" fontId="4" numFmtId="0" xfId="0" applyAlignment="1" applyBorder="1" applyFont="1">
      <alignment horizontal="left" shrinkToFit="0" vertical="top" wrapText="1"/>
    </xf>
    <xf borderId="4" fillId="0" fontId="10" numFmtId="0" xfId="0" applyAlignment="1" applyBorder="1" applyFont="1">
      <alignment horizontal="center" vertical="top"/>
    </xf>
    <xf borderId="4" fillId="0" fontId="7" numFmtId="9" xfId="0" applyAlignment="1" applyBorder="1" applyFont="1" applyNumberFormat="1">
      <alignment horizontal="center" vertical="center"/>
    </xf>
    <xf borderId="4" fillId="0" fontId="8" numFmtId="0" xfId="0" applyAlignment="1" applyBorder="1" applyFont="1">
      <alignment horizontal="left" shrinkToFit="0" vertical="top" wrapText="1"/>
    </xf>
    <xf borderId="4" fillId="0" fontId="10" numFmtId="0" xfId="0" applyAlignment="1" applyBorder="1" applyFont="1">
      <alignment horizontal="left" shrinkToFit="0" vertical="center" wrapText="1"/>
    </xf>
    <xf borderId="4" fillId="0" fontId="10" numFmtId="0" xfId="0" applyAlignment="1" applyBorder="1" applyFont="1">
      <alignment horizontal="center" vertical="center"/>
    </xf>
    <xf borderId="5" fillId="6" fontId="4" numFmtId="0" xfId="0" applyAlignment="1" applyBorder="1" applyFill="1" applyFont="1">
      <alignment horizontal="left" vertical="top"/>
    </xf>
    <xf borderId="5" fillId="6" fontId="4" numFmtId="9" xfId="0" applyAlignment="1" applyBorder="1" applyFill="1" applyFont="1" applyNumberFormat="1">
      <alignment horizontal="center" vertical="top"/>
    </xf>
    <xf borderId="4" fillId="0" fontId="5" numFmtId="0" xfId="0" applyAlignment="1" applyBorder="1" applyFont="1">
      <alignment horizontal="center" vertical="top"/>
    </xf>
    <xf borderId="4" fillId="0" fontId="10" numFmtId="0" xfId="0" applyAlignment="1" applyBorder="1" applyFont="1">
      <alignment horizontal="left" shrinkToFit="0" vertical="top" wrapText="1"/>
    </xf>
    <xf borderId="4" fillId="0" fontId="11" numFmtId="0" xfId="0" applyAlignment="1" applyBorder="1" applyFont="1">
      <alignment horizontal="left" shrinkToFit="0" vertical="top" wrapText="1"/>
    </xf>
    <xf borderId="4" fillId="5" fontId="10" numFmtId="0" xfId="0" applyAlignment="1" applyBorder="1" applyFill="1" applyFont="1">
      <alignment horizontal="center" vertical="top"/>
    </xf>
    <xf borderId="4" fillId="7" fontId="8" numFmtId="0" xfId="0" applyAlignment="1" applyBorder="1" applyFill="1" applyFont="1">
      <alignment horizontal="left" vertical="top"/>
    </xf>
    <xf borderId="4" fillId="0" fontId="12" numFmtId="0" xfId="0" applyAlignment="1" applyBorder="1" applyFont="1">
      <alignment horizontal="center" vertical="top"/>
    </xf>
    <xf borderId="4" fillId="7" fontId="7" numFmtId="0" xfId="0" applyAlignment="1" applyBorder="1" applyFill="1" applyFont="1">
      <alignment horizontal="right" vertical="top"/>
    </xf>
    <xf borderId="4" fillId="0" fontId="13" numFmtId="0" xfId="0" applyAlignment="1" applyBorder="1" applyFont="1">
      <alignment horizontal="center" vertical="top"/>
    </xf>
    <xf borderId="4" fillId="0" fontId="14" numFmtId="0" xfId="0" applyAlignment="1" applyBorder="1" applyFont="1">
      <alignment horizontal="left" shrinkToFit="0" vertical="top" wrapText="1"/>
    </xf>
    <xf borderId="4" fillId="0" fontId="12" numFmtId="0" xfId="0" applyAlignment="1" applyBorder="1" applyFont="1">
      <alignment horizontal="left" shrinkToFit="0" vertical="top" wrapText="1"/>
    </xf>
    <xf borderId="4" fillId="7" fontId="7" numFmtId="9" xfId="0" applyAlignment="1" applyBorder="1" applyFill="1" applyFont="1" applyNumberFormat="1">
      <alignment horizontal="center" vertical="top"/>
    </xf>
    <xf borderId="4" fillId="5" fontId="12" numFmtId="0" xfId="0" applyAlignment="1" applyBorder="1" applyFill="1" applyFont="1">
      <alignment horizontal="center" vertical="top"/>
    </xf>
    <xf borderId="5" fillId="7" fontId="4" numFmtId="0" xfId="0" applyAlignment="1" applyBorder="1" applyFill="1" applyFont="1">
      <alignment horizontal="left" vertical="top"/>
    </xf>
    <xf borderId="4" fillId="7" fontId="9" numFmtId="0" xfId="0" applyAlignment="1" applyBorder="1" applyFill="1" applyFont="1">
      <alignment horizontal="center" vertical="top"/>
    </xf>
    <xf borderId="4" fillId="8" fontId="8" numFmtId="0" xfId="0" applyAlignment="1" applyBorder="1" applyFill="1" applyFont="1">
      <alignment horizontal="left" vertical="top"/>
    </xf>
    <xf borderId="4" fillId="5" fontId="8" numFmtId="0" xfId="0" applyAlignment="1" applyBorder="1" applyFill="1" applyFont="1">
      <alignment horizontal="left" vertical="top"/>
    </xf>
    <xf borderId="5" fillId="7" fontId="4" numFmtId="0" xfId="0" applyAlignment="1" applyBorder="1" applyFill="1" applyFont="1">
      <alignment horizontal="right" vertical="top"/>
    </xf>
    <xf borderId="4" fillId="7" fontId="15" numFmtId="9" xfId="0" applyAlignment="1" applyBorder="1" applyFill="1" applyFont="1" applyNumberFormat="1">
      <alignment horizontal="center" vertical="top"/>
    </xf>
    <xf borderId="4" fillId="7" fontId="7" numFmtId="0" xfId="0" applyAlignment="1" applyBorder="1" applyFill="1" applyFont="1">
      <alignment horizontal="center" vertical="top"/>
    </xf>
    <xf borderId="5" fillId="3" fontId="9" numFmtId="0" xfId="0" applyAlignment="1" applyBorder="1" applyFill="1" applyFont="1">
      <alignment horizontal="left" shrinkToFit="0" vertical="top" wrapText="1"/>
    </xf>
    <xf borderId="4" fillId="7" fontId="9" numFmtId="0" xfId="0" applyAlignment="1" applyBorder="1" applyFill="1" applyFont="1">
      <alignment horizontal="left" vertical="top"/>
    </xf>
    <xf borderId="4" fillId="7" fontId="5" numFmtId="0" xfId="0" applyAlignment="1" applyBorder="1" applyFill="1" applyFont="1">
      <alignment horizontal="right" vertical="top"/>
    </xf>
    <xf borderId="5" fillId="5" fontId="8" numFmtId="0" xfId="0" applyAlignment="1" applyBorder="1" applyFill="1" applyFont="1">
      <alignment horizontal="left" shrinkToFit="0" vertical="top" wrapText="1"/>
    </xf>
    <xf borderId="5" fillId="3" fontId="5" numFmtId="0" xfId="0" applyAlignment="1" applyBorder="1" applyFill="1" applyFont="1">
      <alignment horizontal="center" shrinkToFit="0" vertical="top" wrapText="1"/>
    </xf>
    <xf borderId="4" fillId="0" fontId="4" numFmtId="2" xfId="0" applyAlignment="1" applyBorder="1" applyFont="1" applyNumberFormat="1">
      <alignment horizontal="center" vertical="top"/>
    </xf>
    <xf borderId="4" fillId="0" fontId="8" numFmtId="1" xfId="0" applyAlignment="1" applyBorder="1" applyFont="1" applyNumberFormat="1">
      <alignment horizontal="center" vertical="top"/>
    </xf>
    <xf borderId="4" fillId="0" fontId="4" numFmtId="0" xfId="0" applyAlignment="1" applyBorder="1" applyFont="1">
      <alignment horizontal="center" vertical="top"/>
    </xf>
    <xf borderId="4" fillId="0" fontId="4" numFmtId="164" xfId="0" applyAlignment="1" applyBorder="1" applyFont="1" applyNumberFormat="1">
      <alignment horizontal="center" vertical="top"/>
    </xf>
    <xf borderId="5" fillId="0" fontId="4" numFmtId="0" xfId="0" applyAlignment="1" applyBorder="1" applyFont="1">
      <alignment horizontal="left" vertical="top"/>
    </xf>
    <xf borderId="4" fillId="9" fontId="16" numFmtId="2" xfId="0" applyAlignment="1" applyBorder="1" applyFill="1" applyFont="1" applyNumberFormat="1">
      <alignment horizontal="center" vertical="top"/>
    </xf>
    <xf borderId="5" fillId="0" fontId="9" numFmtId="0" xfId="0" applyAlignment="1" applyBorder="1" applyFont="1">
      <alignment horizontal="left" shrinkToFit="0" vertical="top" wrapText="1"/>
    </xf>
    <xf borderId="4" fillId="8" fontId="10" numFmtId="0" xfId="0" applyAlignment="1" applyBorder="1" applyFill="1" applyFont="1">
      <alignment horizontal="center" vertical="top"/>
    </xf>
    <xf borderId="4" fillId="5" fontId="8" numFmtId="0" xfId="0" applyAlignment="1" applyBorder="1" applyFill="1" applyFont="1">
      <alignment horizontal="left" shrinkToFit="0" vertical="top" wrapText="1"/>
    </xf>
    <xf borderId="0" fillId="0" fontId="9" numFmtId="0" xfId="0" applyAlignment="1" applyFont="1">
      <alignment horizontal="left" shrinkToFit="0" vertical="top" wrapText="1"/>
    </xf>
    <xf borderId="4" fillId="0" fontId="17" numFmtId="0" xfId="0" applyAlignment="1" applyBorder="1" applyFont="1">
      <alignment horizontal="center" vertical="top"/>
    </xf>
    <xf borderId="4" fillId="0" fontId="17" numFmtId="0" xfId="0" applyAlignment="1" applyBorder="1" applyFont="1">
      <alignment horizontal="left" vertical="top"/>
    </xf>
    <xf borderId="4" fillId="0" fontId="17" numFmtId="0" xfId="0" applyAlignment="1" applyBorder="1" applyFont="1">
      <alignment horizontal="left" shrinkToFit="0" vertical="top" wrapText="1"/>
    </xf>
    <xf borderId="4" fillId="5" fontId="8" numFmtId="0" xfId="0" applyAlignment="1" applyBorder="1" applyFill="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13"/>
    <col customWidth="1" min="2" max="2" width="24.5"/>
    <col customWidth="1" min="3" max="3" width="7.0"/>
    <col customWidth="1" min="4" max="5" width="47.25"/>
    <col customWidth="1" min="6" max="6" width="17.5"/>
    <col customWidth="1" min="7" max="7" width="8.75"/>
    <col customWidth="1" min="8" max="8" width="11.38"/>
    <col customWidth="1" min="9" max="26" width="7.63"/>
  </cols>
  <sheetData>
    <row r="1" ht="30.0" customHeight="1">
      <c r="A1" s="1" t="s">
        <v>0</v>
      </c>
      <c r="B1" s="2"/>
      <c r="C1" s="2"/>
      <c r="D1" s="2"/>
      <c r="E1" s="2"/>
      <c r="F1" s="2"/>
      <c r="G1" s="2"/>
      <c r="H1" s="3"/>
    </row>
    <row r="2" ht="18.0" customHeight="1">
      <c r="A2" s="5" t="s">
        <v>3</v>
      </c>
      <c r="B2" s="2"/>
      <c r="C2" s="2"/>
      <c r="D2" s="2"/>
      <c r="E2" s="2"/>
      <c r="F2" s="2"/>
      <c r="G2" s="2"/>
      <c r="H2" s="3"/>
    </row>
    <row r="4" ht="19.5" customHeight="1">
      <c r="A4" s="7" t="s">
        <v>6</v>
      </c>
      <c r="B4" s="2"/>
      <c r="C4" s="2"/>
      <c r="D4" s="2"/>
      <c r="E4" s="2"/>
      <c r="F4" s="2"/>
      <c r="G4" s="2"/>
      <c r="H4" s="3"/>
    </row>
    <row r="5" ht="13.5" customHeight="1">
      <c r="A5" s="9" t="s">
        <v>8</v>
      </c>
      <c r="B5" s="11"/>
      <c r="C5" s="12" t="s">
        <v>12</v>
      </c>
      <c r="D5" s="13"/>
      <c r="E5" s="13"/>
      <c r="F5" s="13"/>
      <c r="G5" s="13"/>
      <c r="H5" s="11"/>
    </row>
    <row r="6" ht="111.75" customHeight="1">
      <c r="A6" s="9" t="s">
        <v>15</v>
      </c>
      <c r="B6" s="11"/>
      <c r="C6" s="12" t="s">
        <v>17</v>
      </c>
      <c r="D6" s="13"/>
      <c r="E6" s="13"/>
      <c r="F6" s="13"/>
      <c r="G6" s="13"/>
      <c r="H6" s="11"/>
    </row>
    <row r="8" ht="19.5" customHeight="1">
      <c r="A8" s="7" t="s">
        <v>19</v>
      </c>
      <c r="B8" s="2"/>
      <c r="C8" s="2"/>
      <c r="D8" s="2"/>
      <c r="E8" s="2"/>
      <c r="F8" s="2"/>
      <c r="G8" s="2"/>
      <c r="H8" s="3"/>
    </row>
    <row r="9" ht="30.0" customHeight="1">
      <c r="A9" s="16" t="s">
        <v>20</v>
      </c>
      <c r="B9" s="16" t="s">
        <v>23</v>
      </c>
      <c r="C9" s="16" t="s">
        <v>5</v>
      </c>
      <c r="D9" s="16" t="s">
        <v>24</v>
      </c>
      <c r="E9" s="16" t="s">
        <v>25</v>
      </c>
      <c r="F9" s="16" t="s">
        <v>7</v>
      </c>
      <c r="G9" s="16" t="s">
        <v>27</v>
      </c>
      <c r="H9" s="16" t="s">
        <v>11</v>
      </c>
    </row>
    <row r="10" ht="60.0" customHeight="1">
      <c r="A10" s="17" t="s">
        <v>28</v>
      </c>
      <c r="B10" s="18" t="s">
        <v>30</v>
      </c>
      <c r="C10" s="20">
        <f>'T1 Apply'!$B$2</f>
        <v>0.34</v>
      </c>
      <c r="D10" s="21" t="s">
        <v>36</v>
      </c>
      <c r="E10" s="21" t="s">
        <v>38</v>
      </c>
      <c r="F10" s="22" t="s">
        <v>10</v>
      </c>
      <c r="G10" s="20">
        <f>'T1 Apply'!$H$49</f>
        <v>0.1666666667</v>
      </c>
      <c r="H10" s="23" t="str">
        <f>IF('T1 Apply'!$G$2="","Not started",'T1 Apply'!$G$2)</f>
        <v>On track</v>
      </c>
    </row>
    <row r="11" ht="75.0" customHeight="1">
      <c r="A11" s="17" t="s">
        <v>49</v>
      </c>
      <c r="B11" s="18" t="s">
        <v>50</v>
      </c>
      <c r="C11" s="20">
        <f>'T2 Adoption'!$B$2</f>
        <v>0.3</v>
      </c>
      <c r="D11" s="21" t="s">
        <v>53</v>
      </c>
      <c r="E11" s="21" t="s">
        <v>54</v>
      </c>
      <c r="F11" s="22" t="s">
        <v>9</v>
      </c>
      <c r="G11" s="20">
        <f>'T2 Adoption'!$H$44</f>
        <v>0.0625</v>
      </c>
      <c r="H11" s="23" t="str">
        <f>IF('T2 Adoption'!$G$2="","Not started",'T2 Adoption'!$G$2)</f>
        <v>On track</v>
      </c>
    </row>
    <row r="12" ht="75.0" customHeight="1">
      <c r="A12" s="17" t="s">
        <v>66</v>
      </c>
      <c r="B12" s="18" t="s">
        <v>67</v>
      </c>
      <c r="C12" s="20">
        <f>'T3 Management'!$B$2</f>
        <v>0.28</v>
      </c>
      <c r="D12" s="21" t="s">
        <v>69</v>
      </c>
      <c r="E12" s="21" t="s">
        <v>71</v>
      </c>
      <c r="F12" s="22" t="s">
        <v>13</v>
      </c>
      <c r="G12" s="20">
        <f>'T3 Management'!$H$41</f>
        <v>0.05882352941</v>
      </c>
      <c r="H12" s="23" t="str">
        <f>IF('T3 Management'!$G$2="","Not started",'T3 Management'!$G$2)</f>
        <v>On track</v>
      </c>
    </row>
    <row r="13" ht="64.5" customHeight="1">
      <c r="A13" s="17" t="s">
        <v>80</v>
      </c>
      <c r="B13" s="18" t="s">
        <v>81</v>
      </c>
      <c r="C13" s="20">
        <f>'T4 Technology'!$B$2</f>
        <v>0.08</v>
      </c>
      <c r="D13" s="21" t="s">
        <v>86</v>
      </c>
      <c r="E13" s="21" t="s">
        <v>88</v>
      </c>
      <c r="F13" s="22" t="s">
        <v>89</v>
      </c>
      <c r="G13" s="20">
        <f>'T4 Technology'!$H$29</f>
        <v>0</v>
      </c>
      <c r="H13" s="23" t="str">
        <f>IF('T4 Technology'!$G$2="","Not started",'T4 Technology'!$G$2)</f>
        <v>On track</v>
      </c>
    </row>
    <row r="14">
      <c r="A14" s="30"/>
      <c r="B14" s="32" t="s">
        <v>104</v>
      </c>
      <c r="C14" s="36">
        <f>SUM(C10:C13)</f>
        <v>1</v>
      </c>
      <c r="D14" s="38" t="str">
        <f>IF(ROUND(C14,4)=1,"4 targets, weights add up to 100% - "&amp;((COUNTA('T1 Apply'!$C$20:$C$48)-COUNTIF('T1 Apply'!$B$20:$B$48,"FY27-28"))+(COUNTA('T2 Adoption'!$C$20:$C$43)-COUNTIF('T2 Adoption'!$B$20:$B$43,"FY27-28"))+(COUNTA('T3 Management'!$C$20:$C$40)-COUNTIF('T3 Management'!$B$20:$B$40,"FY27-28"))+(COUNTA('T4 Technology'!$C$17:$C$28)-COUNTIF('T4 Technology'!$B$17:$B$28,"FY27-28")))&amp;" actions this year","ERROR - weights must add up to 100%")</f>
        <v>4 targets, weights add up to 100% - 52 actions this year</v>
      </c>
      <c r="E14" s="11"/>
      <c r="F14" s="39" t="str">
        <f>('T1 Apply'!$E$49+'T2 Adoption'!$E$44+'T3 Management'!$E$41+'T4 Technology'!$E$29)&amp;" of "&amp;((COUNTA('T1 Apply'!$C$20:$C$48)-COUNTIF('T1 Apply'!$B$20:$B$48,"FY27-28"))+(COUNTA('T2 Adoption'!$C$20:$C$43)-COUNTIF('T2 Adoption'!$B$20:$B$43,"FY27-28"))+(COUNTA('T3 Management'!$C$20:$C$40)-COUNTIF('T3 Management'!$B$20:$B$40,"FY27-28"))+(COUNTA('T4 Technology'!$C$17:$C$28)-COUNTIF('T4 Technology'!$B$17:$B$28,"FY27-28")))&amp;" done"</f>
        <v>4 of 52 done</v>
      </c>
      <c r="G14" s="43">
        <f>IFERROR(('T1 Apply'!$E$49+'T2 Adoption'!$E$44+'T3 Management'!$E$41+'T4 Technology'!$E$29)/((COUNTA('T1 Apply'!$C$20:$C$48)-COUNTIF('T1 Apply'!$B$20:$B$48,"FY27-28"))+(COUNTA('T2 Adoption'!$C$20:$C$43)-COUNTIF('T2 Adoption'!$B$20:$B$43,"FY27-28"))+(COUNTA('T3 Management'!$C$20:$C$40)-COUNTIF('T3 Management'!$B$20:$B$40,"FY27-28"))+(COUNTA('T4 Technology'!$C$17:$C$28)-COUNTIF('T4 Technology'!$B$17:$B$28,"FY27-28"))),0)</f>
        <v>0.07692307692</v>
      </c>
      <c r="H14" s="30"/>
    </row>
    <row r="15" ht="25.5" customHeight="1">
      <c r="A15" s="45" t="s">
        <v>246</v>
      </c>
      <c r="B15" s="13"/>
      <c r="C15" s="13"/>
      <c r="D15" s="13"/>
      <c r="E15" s="13"/>
      <c r="F15" s="13"/>
      <c r="G15" s="13"/>
      <c r="H15" s="11"/>
    </row>
    <row r="17" ht="19.5" customHeight="1">
      <c r="A17" s="7" t="s">
        <v>253</v>
      </c>
      <c r="B17" s="2"/>
      <c r="C17" s="2"/>
      <c r="D17" s="2"/>
      <c r="E17" s="2"/>
      <c r="F17" s="2"/>
      <c r="G17" s="2"/>
      <c r="H17" s="3"/>
    </row>
    <row r="18" ht="30.0" customHeight="1">
      <c r="A18" s="12" t="s">
        <v>255</v>
      </c>
      <c r="B18" s="13"/>
      <c r="C18" s="13"/>
      <c r="D18" s="13"/>
      <c r="E18" s="13"/>
      <c r="F18" s="13"/>
      <c r="G18" s="13"/>
      <c r="H18" s="11"/>
    </row>
    <row r="19" ht="30.0" customHeight="1">
      <c r="A19" s="12" t="s">
        <v>259</v>
      </c>
      <c r="B19" s="13"/>
      <c r="C19" s="13"/>
      <c r="D19" s="13"/>
      <c r="E19" s="13"/>
      <c r="F19" s="13"/>
      <c r="G19" s="13"/>
      <c r="H19" s="11"/>
    </row>
    <row r="20" ht="15.0" customHeight="1">
      <c r="A20" s="12" t="s">
        <v>261</v>
      </c>
      <c r="B20" s="13"/>
      <c r="C20" s="13"/>
      <c r="D20" s="13"/>
      <c r="E20" s="13"/>
      <c r="F20" s="13"/>
      <c r="G20" s="13"/>
      <c r="H20" s="11"/>
    </row>
    <row r="21" ht="15.0" customHeight="1">
      <c r="A21" s="12" t="s">
        <v>264</v>
      </c>
      <c r="B21" s="13"/>
      <c r="C21" s="13"/>
      <c r="D21" s="13"/>
      <c r="E21" s="13"/>
      <c r="F21" s="13"/>
      <c r="G21" s="13"/>
      <c r="H21" s="11"/>
    </row>
    <row r="22" ht="15.0" customHeight="1">
      <c r="A22" s="12" t="s">
        <v>268</v>
      </c>
      <c r="B22" s="13"/>
      <c r="C22" s="13"/>
      <c r="D22" s="13"/>
      <c r="E22" s="13"/>
      <c r="F22" s="13"/>
      <c r="G22" s="13"/>
      <c r="H22" s="11"/>
    </row>
    <row r="23" ht="15.75" customHeight="1"/>
    <row r="24" ht="19.5" customHeight="1">
      <c r="A24" s="7" t="s">
        <v>270</v>
      </c>
      <c r="B24" s="2"/>
      <c r="C24" s="2"/>
      <c r="D24" s="2"/>
      <c r="E24" s="2"/>
      <c r="F24" s="2"/>
      <c r="G24" s="2"/>
      <c r="H24" s="3"/>
    </row>
    <row r="25" ht="15.0" customHeight="1">
      <c r="A25" s="26">
        <v>1.0</v>
      </c>
      <c r="B25" s="12" t="s">
        <v>271</v>
      </c>
      <c r="C25" s="13"/>
      <c r="D25" s="13"/>
      <c r="E25" s="13"/>
      <c r="F25" s="13"/>
      <c r="G25" s="13"/>
      <c r="H25" s="11"/>
    </row>
    <row r="26" ht="15.0" customHeight="1">
      <c r="A26" s="26">
        <v>2.0</v>
      </c>
      <c r="B26" s="12" t="s">
        <v>274</v>
      </c>
      <c r="C26" s="13"/>
      <c r="D26" s="13"/>
      <c r="E26" s="13"/>
      <c r="F26" s="13"/>
      <c r="G26" s="13"/>
      <c r="H26" s="11"/>
    </row>
    <row r="27" ht="15.0" customHeight="1">
      <c r="A27" s="26">
        <v>3.0</v>
      </c>
      <c r="B27" s="12" t="s">
        <v>276</v>
      </c>
      <c r="C27" s="13"/>
      <c r="D27" s="13"/>
      <c r="E27" s="13"/>
      <c r="F27" s="13"/>
      <c r="G27" s="13"/>
      <c r="H27" s="11"/>
    </row>
    <row r="28" ht="30.0" customHeight="1">
      <c r="A28" s="26">
        <v>4.0</v>
      </c>
      <c r="B28" s="12" t="s">
        <v>277</v>
      </c>
      <c r="C28" s="13"/>
      <c r="D28" s="13"/>
      <c r="E28" s="13"/>
      <c r="F28" s="13"/>
      <c r="G28" s="13"/>
      <c r="H28" s="11"/>
    </row>
    <row r="29" ht="15.0" customHeight="1">
      <c r="A29" s="26">
        <v>5.0</v>
      </c>
      <c r="B29" s="12" t="s">
        <v>279</v>
      </c>
      <c r="C29" s="13"/>
      <c r="D29" s="13"/>
      <c r="E29" s="13"/>
      <c r="F29" s="13"/>
      <c r="G29" s="13"/>
      <c r="H29" s="11"/>
    </row>
    <row r="30" ht="15.0" customHeight="1">
      <c r="A30" s="26">
        <v>6.0</v>
      </c>
      <c r="B30" s="12" t="s">
        <v>281</v>
      </c>
      <c r="C30" s="13"/>
      <c r="D30" s="13"/>
      <c r="E30" s="13"/>
      <c r="F30" s="13"/>
      <c r="G30" s="13"/>
      <c r="H30" s="11"/>
    </row>
    <row r="31" ht="15.75" customHeight="1"/>
    <row r="32" ht="19.5" customHeight="1">
      <c r="A32" s="7" t="s">
        <v>282</v>
      </c>
      <c r="B32" s="2"/>
      <c r="C32" s="2"/>
      <c r="D32" s="2"/>
      <c r="E32" s="2"/>
      <c r="F32" s="2"/>
      <c r="G32" s="2"/>
      <c r="H32" s="3"/>
    </row>
    <row r="33" ht="15.75" customHeight="1">
      <c r="A33" s="6" t="s">
        <v>284</v>
      </c>
      <c r="B33" s="12" t="s">
        <v>285</v>
      </c>
      <c r="C33" s="13"/>
      <c r="D33" s="13"/>
      <c r="E33" s="13"/>
      <c r="F33" s="13"/>
      <c r="G33" s="13"/>
      <c r="H33" s="11"/>
    </row>
    <row r="34" ht="15.75" customHeight="1">
      <c r="A34" s="6" t="s">
        <v>287</v>
      </c>
      <c r="B34" s="12" t="s">
        <v>288</v>
      </c>
      <c r="C34" s="13"/>
      <c r="D34" s="13"/>
      <c r="E34" s="13"/>
      <c r="F34" s="13"/>
      <c r="G34" s="13"/>
      <c r="H34" s="11"/>
    </row>
    <row r="35" ht="15.75" customHeight="1">
      <c r="A35" s="6" t="s">
        <v>290</v>
      </c>
      <c r="B35" s="12" t="s">
        <v>291</v>
      </c>
      <c r="C35" s="13"/>
      <c r="D35" s="13"/>
      <c r="E35" s="13"/>
      <c r="F35" s="13"/>
      <c r="G35" s="13"/>
      <c r="H35" s="11"/>
    </row>
    <row r="36" ht="15.75" customHeight="1">
      <c r="A36" s="6" t="s">
        <v>294</v>
      </c>
      <c r="B36" s="48" t="s">
        <v>295</v>
      </c>
      <c r="C36" s="13"/>
      <c r="D36" s="13"/>
      <c r="E36" s="13"/>
      <c r="F36" s="13"/>
      <c r="G36" s="13"/>
      <c r="H36" s="11"/>
    </row>
    <row r="37" ht="15.75" customHeight="1">
      <c r="A37" s="6" t="s">
        <v>298</v>
      </c>
      <c r="B37" s="12" t="s">
        <v>299</v>
      </c>
      <c r="C37" s="13"/>
      <c r="D37" s="13"/>
      <c r="E37" s="13"/>
      <c r="F37" s="13"/>
      <c r="G37" s="13"/>
      <c r="H37" s="1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1:H1"/>
    <mergeCell ref="A2:H2"/>
    <mergeCell ref="A4:H4"/>
    <mergeCell ref="A5:B5"/>
    <mergeCell ref="C5:H5"/>
    <mergeCell ref="C6:H6"/>
    <mergeCell ref="A8:H8"/>
    <mergeCell ref="A6:B6"/>
    <mergeCell ref="D14:E14"/>
    <mergeCell ref="A15:H15"/>
    <mergeCell ref="A17:H17"/>
    <mergeCell ref="A18:H18"/>
    <mergeCell ref="A19:H19"/>
    <mergeCell ref="A20:H20"/>
    <mergeCell ref="B29:H29"/>
    <mergeCell ref="B30:H30"/>
    <mergeCell ref="A32:H32"/>
    <mergeCell ref="B33:H33"/>
    <mergeCell ref="B34:H34"/>
    <mergeCell ref="B35:H35"/>
    <mergeCell ref="B36:H36"/>
    <mergeCell ref="B37:H37"/>
    <mergeCell ref="A21:H21"/>
    <mergeCell ref="A22:H22"/>
    <mergeCell ref="A24:H24"/>
    <mergeCell ref="B25:H25"/>
    <mergeCell ref="B26:H26"/>
    <mergeCell ref="B27:H27"/>
    <mergeCell ref="B28:H2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5"/>
    <col customWidth="1" min="2" max="2" width="7.88"/>
    <col customWidth="1" min="3" max="3" width="49.0"/>
    <col customWidth="1" min="4" max="4" width="24.5"/>
    <col customWidth="1" min="5" max="5" width="42.0"/>
    <col customWidth="1" min="6" max="6" width="17.5"/>
    <col customWidth="1" min="7" max="7" width="9.63"/>
    <col customWidth="1" min="8" max="8" width="11.38"/>
    <col customWidth="1" min="9" max="26" width="7.63"/>
  </cols>
  <sheetData>
    <row r="1" ht="25.5" customHeight="1">
      <c r="A1" s="4" t="s">
        <v>2</v>
      </c>
      <c r="B1" s="2"/>
      <c r="C1" s="2"/>
      <c r="D1" s="2"/>
      <c r="E1" s="2"/>
      <c r="F1" s="2"/>
      <c r="G1" s="2"/>
      <c r="H1" s="3"/>
    </row>
    <row r="2">
      <c r="A2" s="6" t="s">
        <v>5</v>
      </c>
      <c r="B2" s="8">
        <v>0.34</v>
      </c>
      <c r="C2" s="6" t="s">
        <v>7</v>
      </c>
      <c r="D2" s="10" t="s">
        <v>10</v>
      </c>
      <c r="E2" s="11"/>
      <c r="F2" s="6" t="s">
        <v>11</v>
      </c>
      <c r="G2" s="14" t="s">
        <v>14</v>
      </c>
      <c r="H2" s="11"/>
    </row>
    <row r="3">
      <c r="A3" s="15" t="s">
        <v>16</v>
      </c>
    </row>
    <row r="5" ht="19.5" customHeight="1">
      <c r="A5" s="7" t="s">
        <v>18</v>
      </c>
      <c r="B5" s="2"/>
      <c r="C5" s="2"/>
      <c r="D5" s="2"/>
      <c r="E5" s="2"/>
      <c r="F5" s="2"/>
      <c r="G5" s="2"/>
      <c r="H5" s="3"/>
    </row>
    <row r="6" ht="60.0" customHeight="1">
      <c r="A6" s="12" t="s">
        <v>22</v>
      </c>
      <c r="B6" s="13"/>
      <c r="C6" s="13"/>
      <c r="D6" s="13"/>
      <c r="E6" s="13"/>
      <c r="F6" s="13"/>
      <c r="G6" s="13"/>
      <c r="H6" s="11"/>
    </row>
    <row r="8" ht="19.5" customHeight="1">
      <c r="A8" s="7" t="s">
        <v>29</v>
      </c>
      <c r="B8" s="2"/>
      <c r="C8" s="2"/>
      <c r="D8" s="2"/>
      <c r="E8" s="2"/>
      <c r="F8" s="2"/>
      <c r="G8" s="2"/>
      <c r="H8" s="3"/>
    </row>
    <row r="9" ht="15.0" customHeight="1">
      <c r="A9" s="19">
        <v>1.0</v>
      </c>
      <c r="B9" s="12" t="s">
        <v>31</v>
      </c>
      <c r="C9" s="13"/>
      <c r="D9" s="13"/>
      <c r="E9" s="13"/>
      <c r="F9" s="13"/>
      <c r="G9" s="13"/>
      <c r="H9" s="11"/>
    </row>
    <row r="10" ht="15.0" customHeight="1">
      <c r="A10" s="19">
        <v>2.0</v>
      </c>
      <c r="B10" s="12" t="s">
        <v>35</v>
      </c>
      <c r="C10" s="13"/>
      <c r="D10" s="13"/>
      <c r="E10" s="13"/>
      <c r="F10" s="13"/>
      <c r="G10" s="13"/>
      <c r="H10" s="11"/>
    </row>
    <row r="11" ht="15.0" customHeight="1">
      <c r="A11" s="19">
        <v>3.0</v>
      </c>
      <c r="B11" s="12" t="s">
        <v>40</v>
      </c>
      <c r="C11" s="13"/>
      <c r="D11" s="13"/>
      <c r="E11" s="13"/>
      <c r="F11" s="13"/>
      <c r="G11" s="13"/>
      <c r="H11" s="11"/>
    </row>
    <row r="12" ht="15.0" customHeight="1">
      <c r="A12" s="19">
        <v>4.0</v>
      </c>
      <c r="B12" s="12" t="s">
        <v>43</v>
      </c>
      <c r="C12" s="13"/>
      <c r="D12" s="13"/>
      <c r="E12" s="13"/>
      <c r="F12" s="13"/>
      <c r="G12" s="13"/>
      <c r="H12" s="11"/>
    </row>
    <row r="13" ht="15.0" customHeight="1">
      <c r="A13" s="19">
        <v>5.0</v>
      </c>
      <c r="B13" s="12" t="s">
        <v>46</v>
      </c>
      <c r="C13" s="13"/>
      <c r="D13" s="13"/>
      <c r="E13" s="13"/>
      <c r="F13" s="13"/>
      <c r="G13" s="13"/>
      <c r="H13" s="11"/>
    </row>
    <row r="14" ht="15.0" customHeight="1">
      <c r="A14" s="19">
        <v>6.0</v>
      </c>
      <c r="B14" s="12" t="s">
        <v>48</v>
      </c>
      <c r="C14" s="13"/>
      <c r="D14" s="13"/>
      <c r="E14" s="13"/>
      <c r="F14" s="13"/>
      <c r="G14" s="13"/>
      <c r="H14" s="11"/>
    </row>
    <row r="15" ht="15.0" customHeight="1">
      <c r="A15" s="19">
        <v>7.0</v>
      </c>
      <c r="B15" s="12" t="s">
        <v>55</v>
      </c>
      <c r="C15" s="13"/>
      <c r="D15" s="13"/>
      <c r="E15" s="13"/>
      <c r="F15" s="13"/>
      <c r="G15" s="13"/>
      <c r="H15" s="11"/>
    </row>
    <row r="17" ht="19.5" customHeight="1">
      <c r="A17" s="7" t="s">
        <v>52</v>
      </c>
      <c r="B17" s="2"/>
      <c r="C17" s="2"/>
      <c r="D17" s="2"/>
      <c r="E17" s="2"/>
      <c r="F17" s="2"/>
      <c r="G17" s="2"/>
      <c r="H17" s="3"/>
    </row>
    <row r="18" ht="27.75" customHeight="1">
      <c r="A18" s="16" t="s">
        <v>57</v>
      </c>
      <c r="B18" s="16" t="s">
        <v>58</v>
      </c>
      <c r="C18" s="16" t="s">
        <v>59</v>
      </c>
      <c r="D18" s="16" t="s">
        <v>60</v>
      </c>
      <c r="E18" s="16" t="s">
        <v>61</v>
      </c>
      <c r="F18" s="16" t="s">
        <v>7</v>
      </c>
      <c r="G18" s="16" t="s">
        <v>62</v>
      </c>
      <c r="H18" s="16" t="s">
        <v>11</v>
      </c>
    </row>
    <row r="19" ht="18.0" customHeight="1">
      <c r="A19" s="24" t="s">
        <v>74</v>
      </c>
      <c r="B19" s="13"/>
      <c r="C19" s="13"/>
      <c r="D19" s="13"/>
      <c r="E19" s="13"/>
      <c r="F19" s="11"/>
      <c r="G19" s="25">
        <v>0.19</v>
      </c>
      <c r="H19" s="11"/>
    </row>
    <row r="20" ht="30.0" customHeight="1">
      <c r="A20" s="19">
        <v>1.0</v>
      </c>
      <c r="B20" s="26" t="s">
        <v>68</v>
      </c>
      <c r="C20" s="21" t="s">
        <v>90</v>
      </c>
      <c r="D20" s="27" t="s">
        <v>94</v>
      </c>
      <c r="E20" s="28" t="s">
        <v>97</v>
      </c>
      <c r="F20" s="27" t="s">
        <v>10</v>
      </c>
      <c r="G20" s="19" t="s">
        <v>75</v>
      </c>
      <c r="H20" s="29"/>
    </row>
    <row r="21" ht="30.0" customHeight="1">
      <c r="A21" s="19">
        <v>2.0</v>
      </c>
      <c r="B21" s="26" t="s">
        <v>68</v>
      </c>
      <c r="C21" s="21" t="s">
        <v>105</v>
      </c>
      <c r="D21" s="27" t="s">
        <v>107</v>
      </c>
      <c r="E21" s="28" t="s">
        <v>110</v>
      </c>
      <c r="F21" s="27" t="s">
        <v>10</v>
      </c>
      <c r="G21" s="19" t="s">
        <v>75</v>
      </c>
      <c r="H21" s="29" t="s">
        <v>114</v>
      </c>
    </row>
    <row r="22" ht="30.0" customHeight="1">
      <c r="A22" s="19">
        <v>3.0</v>
      </c>
      <c r="B22" s="26" t="s">
        <v>68</v>
      </c>
      <c r="C22" s="21" t="s">
        <v>116</v>
      </c>
      <c r="D22" s="27" t="s">
        <v>117</v>
      </c>
      <c r="E22" s="28"/>
      <c r="F22" s="27" t="s">
        <v>10</v>
      </c>
      <c r="G22" s="19" t="s">
        <v>75</v>
      </c>
      <c r="H22" s="29" t="s">
        <v>114</v>
      </c>
    </row>
    <row r="23" ht="30.0" customHeight="1">
      <c r="A23" s="19">
        <v>4.0</v>
      </c>
      <c r="B23" s="26" t="s">
        <v>99</v>
      </c>
      <c r="C23" s="21" t="s">
        <v>128</v>
      </c>
      <c r="D23" s="27" t="s">
        <v>131</v>
      </c>
      <c r="E23" s="28" t="s">
        <v>134</v>
      </c>
      <c r="F23" s="27" t="s">
        <v>10</v>
      </c>
      <c r="G23" s="19" t="s">
        <v>103</v>
      </c>
      <c r="H23" s="29" t="s">
        <v>91</v>
      </c>
    </row>
    <row r="24" ht="30.0" customHeight="1">
      <c r="A24" s="19">
        <v>5.0</v>
      </c>
      <c r="B24" s="26" t="s">
        <v>99</v>
      </c>
      <c r="C24" s="21" t="s">
        <v>144</v>
      </c>
      <c r="D24" s="27" t="s">
        <v>107</v>
      </c>
      <c r="E24" s="28" t="s">
        <v>149</v>
      </c>
      <c r="F24" s="27" t="s">
        <v>10</v>
      </c>
      <c r="G24" s="19" t="s">
        <v>103</v>
      </c>
      <c r="H24" s="29"/>
    </row>
    <row r="25" ht="30.0" customHeight="1">
      <c r="A25" s="19">
        <v>6.0</v>
      </c>
      <c r="B25" s="26" t="s">
        <v>99</v>
      </c>
      <c r="C25" s="21" t="s">
        <v>153</v>
      </c>
      <c r="D25" s="27" t="s">
        <v>155</v>
      </c>
      <c r="E25" s="28" t="s">
        <v>158</v>
      </c>
      <c r="F25" s="27" t="s">
        <v>10</v>
      </c>
      <c r="G25" s="19" t="s">
        <v>103</v>
      </c>
      <c r="H25" s="29"/>
    </row>
    <row r="26" ht="30.0" customHeight="1">
      <c r="A26" s="19">
        <v>7.0</v>
      </c>
      <c r="B26" s="26" t="s">
        <v>92</v>
      </c>
      <c r="C26" s="21" t="s">
        <v>166</v>
      </c>
      <c r="D26" s="27" t="s">
        <v>107</v>
      </c>
      <c r="E26" s="28"/>
      <c r="F26" s="27" t="s">
        <v>10</v>
      </c>
      <c r="G26" s="19" t="s">
        <v>98</v>
      </c>
      <c r="H26" s="29"/>
    </row>
    <row r="27" ht="30.0" customHeight="1">
      <c r="A27" s="31">
        <v>8.0</v>
      </c>
      <c r="B27" s="33" t="s">
        <v>108</v>
      </c>
      <c r="C27" s="34" t="s">
        <v>182</v>
      </c>
      <c r="D27" s="35" t="s">
        <v>185</v>
      </c>
      <c r="E27" s="35" t="s">
        <v>188</v>
      </c>
      <c r="F27" s="35" t="s">
        <v>10</v>
      </c>
      <c r="G27" s="31" t="s">
        <v>115</v>
      </c>
      <c r="H27" s="37"/>
    </row>
    <row r="28" ht="30.0" customHeight="1">
      <c r="A28" s="19">
        <v>9.0</v>
      </c>
      <c r="B28" s="26" t="s">
        <v>124</v>
      </c>
      <c r="C28" s="21" t="s">
        <v>194</v>
      </c>
      <c r="D28" s="27" t="s">
        <v>196</v>
      </c>
      <c r="E28" s="28" t="s">
        <v>198</v>
      </c>
      <c r="F28" s="27" t="s">
        <v>10</v>
      </c>
      <c r="G28" s="19" t="s">
        <v>130</v>
      </c>
      <c r="H28" s="29"/>
    </row>
    <row r="29" ht="30.0" customHeight="1">
      <c r="A29" s="19">
        <v>10.0</v>
      </c>
      <c r="B29" s="26" t="s">
        <v>124</v>
      </c>
      <c r="C29" s="21" t="s">
        <v>203</v>
      </c>
      <c r="D29" s="27" t="s">
        <v>107</v>
      </c>
      <c r="E29" s="28" t="s">
        <v>208</v>
      </c>
      <c r="F29" s="27" t="s">
        <v>10</v>
      </c>
      <c r="G29" s="19" t="s">
        <v>130</v>
      </c>
      <c r="H29" s="29"/>
    </row>
    <row r="30" ht="30.0" customHeight="1">
      <c r="A30" s="31">
        <v>11.0</v>
      </c>
      <c r="B30" s="33" t="s">
        <v>108</v>
      </c>
      <c r="C30" s="34" t="s">
        <v>213</v>
      </c>
      <c r="D30" s="35" t="s">
        <v>214</v>
      </c>
      <c r="E30" s="35" t="s">
        <v>216</v>
      </c>
      <c r="F30" s="35" t="s">
        <v>10</v>
      </c>
      <c r="G30" s="31" t="s">
        <v>115</v>
      </c>
      <c r="H30" s="37"/>
    </row>
    <row r="31" ht="30.0" customHeight="1">
      <c r="A31" s="19">
        <v>12.0</v>
      </c>
      <c r="B31" s="26" t="s">
        <v>124</v>
      </c>
      <c r="C31" s="21" t="s">
        <v>222</v>
      </c>
      <c r="D31" s="27" t="s">
        <v>223</v>
      </c>
      <c r="E31" s="28" t="s">
        <v>225</v>
      </c>
      <c r="F31" s="27" t="s">
        <v>10</v>
      </c>
      <c r="G31" s="19" t="s">
        <v>130</v>
      </c>
      <c r="H31" s="29"/>
    </row>
    <row r="32" ht="18.0" customHeight="1">
      <c r="A32" s="24" t="s">
        <v>228</v>
      </c>
      <c r="B32" s="13"/>
      <c r="C32" s="13"/>
      <c r="D32" s="13"/>
      <c r="E32" s="13"/>
      <c r="F32" s="11"/>
      <c r="G32" s="25">
        <v>0.15</v>
      </c>
      <c r="H32" s="11"/>
    </row>
    <row r="33" ht="30.0" customHeight="1">
      <c r="A33" s="19">
        <v>13.0</v>
      </c>
      <c r="B33" s="26" t="s">
        <v>99</v>
      </c>
      <c r="C33" s="21" t="s">
        <v>232</v>
      </c>
      <c r="D33" s="27" t="s">
        <v>237</v>
      </c>
      <c r="E33" s="28"/>
      <c r="F33" s="27" t="s">
        <v>10</v>
      </c>
      <c r="G33" s="19" t="s">
        <v>103</v>
      </c>
      <c r="H33" s="29"/>
    </row>
    <row r="34" ht="30.0" customHeight="1">
      <c r="A34" s="19">
        <v>14.0</v>
      </c>
      <c r="B34" s="26" t="s">
        <v>92</v>
      </c>
      <c r="C34" s="21" t="s">
        <v>241</v>
      </c>
      <c r="D34" s="27" t="s">
        <v>243</v>
      </c>
      <c r="E34" s="28" t="s">
        <v>244</v>
      </c>
      <c r="F34" s="27" t="s">
        <v>10</v>
      </c>
      <c r="G34" s="19" t="s">
        <v>98</v>
      </c>
      <c r="H34" s="29"/>
    </row>
    <row r="35" ht="30.0" customHeight="1">
      <c r="A35" s="31">
        <v>15.0</v>
      </c>
      <c r="B35" s="33" t="s">
        <v>108</v>
      </c>
      <c r="C35" s="34" t="s">
        <v>249</v>
      </c>
      <c r="D35" s="35" t="s">
        <v>250</v>
      </c>
      <c r="E35" s="35"/>
      <c r="F35" s="35" t="s">
        <v>10</v>
      </c>
      <c r="G35" s="31" t="s">
        <v>115</v>
      </c>
      <c r="H35" s="37"/>
    </row>
    <row r="36" ht="30.0" customHeight="1">
      <c r="A36" s="31">
        <v>16.0</v>
      </c>
      <c r="B36" s="33" t="s">
        <v>108</v>
      </c>
      <c r="C36" s="34" t="s">
        <v>241</v>
      </c>
      <c r="D36" s="35" t="s">
        <v>243</v>
      </c>
      <c r="E36" s="35"/>
      <c r="F36" s="35" t="s">
        <v>10</v>
      </c>
      <c r="G36" s="31" t="s">
        <v>115</v>
      </c>
      <c r="H36" s="37"/>
    </row>
    <row r="37" ht="30.0" customHeight="1">
      <c r="A37" s="31">
        <v>17.0</v>
      </c>
      <c r="B37" s="33" t="s">
        <v>108</v>
      </c>
      <c r="C37" s="34" t="s">
        <v>256</v>
      </c>
      <c r="D37" s="35" t="s">
        <v>257</v>
      </c>
      <c r="E37" s="35" t="s">
        <v>258</v>
      </c>
      <c r="F37" s="35" t="s">
        <v>10</v>
      </c>
      <c r="G37" s="31" t="s">
        <v>115</v>
      </c>
      <c r="H37" s="37"/>
    </row>
    <row r="38" ht="30.0" customHeight="1">
      <c r="A38" s="31">
        <v>18.0</v>
      </c>
      <c r="B38" s="33" t="s">
        <v>108</v>
      </c>
      <c r="C38" s="34" t="s">
        <v>260</v>
      </c>
      <c r="D38" s="35" t="s">
        <v>262</v>
      </c>
      <c r="E38" s="35" t="s">
        <v>263</v>
      </c>
      <c r="F38" s="35" t="s">
        <v>10</v>
      </c>
      <c r="G38" s="31" t="s">
        <v>115</v>
      </c>
      <c r="H38" s="37"/>
    </row>
    <row r="39" ht="30.0" customHeight="1">
      <c r="A39" s="31">
        <v>19.0</v>
      </c>
      <c r="B39" s="33" t="s">
        <v>108</v>
      </c>
      <c r="C39" s="34" t="s">
        <v>265</v>
      </c>
      <c r="D39" s="35" t="s">
        <v>266</v>
      </c>
      <c r="E39" s="35" t="s">
        <v>267</v>
      </c>
      <c r="F39" s="35" t="s">
        <v>10</v>
      </c>
      <c r="G39" s="31" t="s">
        <v>115</v>
      </c>
      <c r="H39" s="37"/>
    </row>
    <row r="40" ht="19.5" customHeight="1">
      <c r="A40" s="40"/>
      <c r="B40" s="40"/>
      <c r="C40" s="40"/>
      <c r="D40" s="40"/>
      <c r="E40" s="40"/>
      <c r="F40" s="40"/>
      <c r="G40" s="40"/>
      <c r="H40" s="41"/>
    </row>
    <row r="41" ht="19.5" customHeight="1">
      <c r="A41" s="40"/>
      <c r="B41" s="40"/>
      <c r="C41" s="40"/>
      <c r="D41" s="40"/>
      <c r="E41" s="40"/>
      <c r="F41" s="40"/>
      <c r="G41" s="40"/>
      <c r="H41" s="41"/>
    </row>
    <row r="42" ht="19.5" customHeight="1">
      <c r="A42" s="40"/>
      <c r="B42" s="40"/>
      <c r="C42" s="40"/>
      <c r="D42" s="40"/>
      <c r="E42" s="40"/>
      <c r="F42" s="40"/>
      <c r="G42" s="40"/>
      <c r="H42" s="41"/>
    </row>
    <row r="43" ht="19.5" customHeight="1">
      <c r="A43" s="40"/>
      <c r="B43" s="40"/>
      <c r="C43" s="40"/>
      <c r="D43" s="40"/>
      <c r="E43" s="40"/>
      <c r="F43" s="40"/>
      <c r="G43" s="40"/>
      <c r="H43" s="41"/>
    </row>
    <row r="44" ht="19.5" customHeight="1">
      <c r="A44" s="40"/>
      <c r="B44" s="40"/>
      <c r="C44" s="40"/>
      <c r="D44" s="40"/>
      <c r="E44" s="40"/>
      <c r="F44" s="40"/>
      <c r="G44" s="40"/>
      <c r="H44" s="41"/>
    </row>
    <row r="45" ht="19.5" customHeight="1">
      <c r="A45" s="40"/>
      <c r="B45" s="40"/>
      <c r="C45" s="40"/>
      <c r="D45" s="40"/>
      <c r="E45" s="40"/>
      <c r="F45" s="40"/>
      <c r="G45" s="40"/>
      <c r="H45" s="41"/>
    </row>
    <row r="46" ht="19.5" customHeight="1">
      <c r="A46" s="40"/>
      <c r="B46" s="40"/>
      <c r="C46" s="40"/>
      <c r="D46" s="40"/>
      <c r="E46" s="40"/>
      <c r="F46" s="40"/>
      <c r="G46" s="40"/>
      <c r="H46" s="41"/>
    </row>
    <row r="47" ht="19.5" customHeight="1">
      <c r="A47" s="40"/>
      <c r="B47" s="40"/>
      <c r="C47" s="40"/>
      <c r="D47" s="40"/>
      <c r="E47" s="40"/>
      <c r="F47" s="40"/>
      <c r="G47" s="40"/>
      <c r="H47" s="41"/>
    </row>
    <row r="48" ht="19.5" customHeight="1">
      <c r="A48" s="40"/>
      <c r="B48" s="40"/>
      <c r="C48" s="40"/>
      <c r="D48" s="40"/>
      <c r="E48" s="40"/>
      <c r="F48" s="40"/>
      <c r="G48" s="40"/>
      <c r="H48" s="41"/>
    </row>
    <row r="49" ht="15.75" customHeight="1">
      <c r="A49" s="42" t="s">
        <v>233</v>
      </c>
      <c r="B49" s="13"/>
      <c r="C49" s="13"/>
      <c r="D49" s="11"/>
      <c r="E49" s="44">
        <f>COUNTIF(H20:H48,"Done")</f>
        <v>2</v>
      </c>
      <c r="F49" s="46" t="str">
        <f>"of "&amp;(COUNTA(C20:C48)-COUNTIF(B20:B48,"FY27-28"))&amp;" actions this year"</f>
        <v>of 12 actions this year</v>
      </c>
      <c r="G49" s="47" t="s">
        <v>27</v>
      </c>
      <c r="H49" s="43">
        <f>IFERROR($E49/(COUNTA(C20:C48)-COUNTIF(B20:B48,"FY27-28")),0)</f>
        <v>0.1666666667</v>
      </c>
    </row>
    <row r="50" ht="15.75" customHeight="1"/>
    <row r="51" ht="19.5" customHeight="1">
      <c r="A51" s="7" t="s">
        <v>269</v>
      </c>
      <c r="B51" s="2"/>
      <c r="C51" s="2"/>
      <c r="D51" s="2"/>
      <c r="E51" s="2"/>
      <c r="F51" s="2"/>
      <c r="G51" s="2"/>
      <c r="H51" s="3"/>
    </row>
    <row r="52" ht="15.0" customHeight="1">
      <c r="A52" s="19">
        <v>1.0</v>
      </c>
      <c r="B52" s="12" t="s">
        <v>328</v>
      </c>
      <c r="C52" s="13"/>
      <c r="D52" s="13"/>
      <c r="E52" s="13"/>
      <c r="F52" s="13"/>
      <c r="G52" s="13"/>
      <c r="H52" s="11"/>
    </row>
    <row r="53" ht="15.0" customHeight="1">
      <c r="A53" s="19">
        <v>2.0</v>
      </c>
      <c r="B53" s="12" t="s">
        <v>330</v>
      </c>
      <c r="C53" s="13"/>
      <c r="D53" s="13"/>
      <c r="E53" s="13"/>
      <c r="F53" s="13"/>
      <c r="G53" s="13"/>
      <c r="H53" s="11"/>
    </row>
    <row r="54" ht="15.0" customHeight="1">
      <c r="A54" s="19">
        <v>3.0</v>
      </c>
      <c r="B54" s="12" t="s">
        <v>335</v>
      </c>
      <c r="C54" s="13"/>
      <c r="D54" s="13"/>
      <c r="E54" s="13"/>
      <c r="F54" s="13"/>
      <c r="G54" s="13"/>
      <c r="H54" s="11"/>
    </row>
    <row r="55" ht="15.0" customHeight="1">
      <c r="A55" s="19">
        <v>4.0</v>
      </c>
      <c r="B55" s="12" t="s">
        <v>337</v>
      </c>
      <c r="C55" s="13"/>
      <c r="D55" s="13"/>
      <c r="E55" s="13"/>
      <c r="F55" s="13"/>
      <c r="G55" s="13"/>
      <c r="H55" s="11"/>
    </row>
    <row r="56" ht="15.0" customHeight="1">
      <c r="A56" s="19">
        <v>5.0</v>
      </c>
      <c r="B56" s="12" t="s">
        <v>341</v>
      </c>
      <c r="C56" s="13"/>
      <c r="D56" s="13"/>
      <c r="E56" s="13"/>
      <c r="F56" s="13"/>
      <c r="G56" s="13"/>
      <c r="H56" s="11"/>
    </row>
    <row r="57" ht="30.0" customHeight="1">
      <c r="A57" s="19">
        <v>6.0</v>
      </c>
      <c r="B57" s="12" t="s">
        <v>344</v>
      </c>
      <c r="C57" s="13"/>
      <c r="D57" s="13"/>
      <c r="E57" s="13"/>
      <c r="F57" s="13"/>
      <c r="G57" s="13"/>
      <c r="H57" s="11"/>
    </row>
    <row r="58" ht="15.0" customHeight="1">
      <c r="A58" s="19">
        <v>7.0</v>
      </c>
      <c r="B58" s="12" t="s">
        <v>347</v>
      </c>
      <c r="C58" s="13"/>
      <c r="D58" s="13"/>
      <c r="E58" s="13"/>
      <c r="F58" s="13"/>
      <c r="G58" s="13"/>
      <c r="H58" s="11"/>
    </row>
    <row r="59" ht="15.75" customHeight="1"/>
    <row r="60" ht="19.5" customHeight="1">
      <c r="A60" s="7" t="s">
        <v>289</v>
      </c>
      <c r="B60" s="2"/>
      <c r="C60" s="2"/>
      <c r="D60" s="2"/>
      <c r="E60" s="2"/>
      <c r="F60" s="2"/>
      <c r="G60" s="2"/>
      <c r="H60" s="3"/>
    </row>
    <row r="61" ht="15.0" customHeight="1">
      <c r="A61" s="19">
        <v>1.0</v>
      </c>
      <c r="B61" s="12" t="s">
        <v>355</v>
      </c>
      <c r="C61" s="13"/>
      <c r="D61" s="13"/>
      <c r="E61" s="13"/>
      <c r="F61" s="13"/>
      <c r="G61" s="13"/>
      <c r="H61" s="11"/>
    </row>
    <row r="62" ht="15.0" customHeight="1">
      <c r="A62" s="19">
        <v>2.0</v>
      </c>
      <c r="B62" s="12" t="s">
        <v>357</v>
      </c>
      <c r="C62" s="13"/>
      <c r="D62" s="13"/>
      <c r="E62" s="13"/>
      <c r="F62" s="13"/>
      <c r="G62" s="13"/>
      <c r="H62" s="11"/>
    </row>
    <row r="63" ht="15.0" customHeight="1">
      <c r="A63" s="19">
        <v>3.0</v>
      </c>
      <c r="B63" s="12" t="s">
        <v>361</v>
      </c>
      <c r="C63" s="13"/>
      <c r="D63" s="13"/>
      <c r="E63" s="13"/>
      <c r="F63" s="13"/>
      <c r="G63" s="13"/>
      <c r="H63" s="11"/>
    </row>
    <row r="64" ht="15.0" customHeight="1">
      <c r="A64" s="19">
        <v>4.0</v>
      </c>
      <c r="B64" s="12" t="s">
        <v>363</v>
      </c>
      <c r="C64" s="13"/>
      <c r="D64" s="13"/>
      <c r="E64" s="13"/>
      <c r="F64" s="13"/>
      <c r="G64" s="13"/>
      <c r="H64" s="11"/>
    </row>
    <row r="65" ht="15.75" customHeight="1"/>
    <row r="66" ht="19.5" customHeight="1">
      <c r="A66" s="7" t="s">
        <v>304</v>
      </c>
      <c r="B66" s="2"/>
      <c r="C66" s="2"/>
      <c r="D66" s="2"/>
      <c r="E66" s="2"/>
      <c r="F66" s="2"/>
      <c r="G66" s="2"/>
      <c r="H66" s="3"/>
    </row>
    <row r="67" ht="45.0" customHeight="1">
      <c r="A67" s="12" t="s">
        <v>367</v>
      </c>
      <c r="B67" s="13"/>
      <c r="C67" s="13"/>
      <c r="D67" s="13"/>
      <c r="E67" s="13"/>
      <c r="F67" s="13"/>
      <c r="G67" s="13"/>
      <c r="H67" s="11"/>
    </row>
    <row r="68" ht="15.75" customHeight="1"/>
    <row r="69" ht="19.5" customHeight="1">
      <c r="A69" s="7" t="s">
        <v>309</v>
      </c>
      <c r="B69" s="2"/>
      <c r="C69" s="2"/>
      <c r="D69" s="2"/>
      <c r="E69" s="2"/>
      <c r="F69" s="2"/>
      <c r="G69" s="2"/>
      <c r="H69" s="3"/>
    </row>
    <row r="70" ht="19.5" customHeight="1">
      <c r="A70" s="16" t="s">
        <v>57</v>
      </c>
      <c r="B70" s="49" t="s">
        <v>310</v>
      </c>
      <c r="C70" s="13"/>
      <c r="D70" s="11"/>
      <c r="E70" s="49" t="s">
        <v>312</v>
      </c>
      <c r="F70" s="13"/>
      <c r="G70" s="13"/>
      <c r="H70" s="11"/>
    </row>
    <row r="71" ht="30.0" customHeight="1">
      <c r="A71" s="19">
        <v>1.0</v>
      </c>
      <c r="B71" s="12" t="s">
        <v>370</v>
      </c>
      <c r="C71" s="13"/>
      <c r="D71" s="11"/>
      <c r="E71" s="12" t="s">
        <v>371</v>
      </c>
      <c r="F71" s="13"/>
      <c r="G71" s="13"/>
      <c r="H71" s="11"/>
    </row>
    <row r="72" ht="30.0" customHeight="1">
      <c r="A72" s="19">
        <v>2.0</v>
      </c>
      <c r="B72" s="12" t="s">
        <v>372</v>
      </c>
      <c r="C72" s="13"/>
      <c r="D72" s="11"/>
      <c r="E72" s="12" t="s">
        <v>374</v>
      </c>
      <c r="F72" s="13"/>
      <c r="G72" s="13"/>
      <c r="H72" s="11"/>
    </row>
    <row r="73" ht="30.0" customHeight="1">
      <c r="A73" s="19">
        <v>3.0</v>
      </c>
      <c r="B73" s="12" t="s">
        <v>376</v>
      </c>
      <c r="C73" s="13"/>
      <c r="D73" s="11"/>
      <c r="E73" s="12" t="s">
        <v>377</v>
      </c>
      <c r="F73" s="13"/>
      <c r="G73" s="13"/>
      <c r="H73" s="11"/>
    </row>
    <row r="74" ht="15.75" customHeight="1"/>
    <row r="75" ht="19.5" customHeight="1">
      <c r="A75" s="7" t="s">
        <v>324</v>
      </c>
      <c r="B75" s="2"/>
      <c r="C75" s="2"/>
      <c r="D75" s="2"/>
      <c r="E75" s="2"/>
      <c r="F75" s="2"/>
      <c r="G75" s="2"/>
      <c r="H75" s="3"/>
    </row>
    <row r="76" ht="21.75" customHeight="1">
      <c r="A76" s="56" t="s">
        <v>326</v>
      </c>
      <c r="B76" s="13"/>
      <c r="C76" s="13"/>
      <c r="D76" s="13"/>
      <c r="E76" s="13"/>
      <c r="F76" s="13"/>
      <c r="G76" s="13"/>
      <c r="H76" s="11"/>
    </row>
    <row r="77" ht="19.5" customHeight="1">
      <c r="A77" s="16" t="s">
        <v>57</v>
      </c>
      <c r="B77" s="16" t="s">
        <v>329</v>
      </c>
      <c r="C77" s="49" t="s">
        <v>331</v>
      </c>
      <c r="D77" s="11"/>
      <c r="E77" s="49" t="s">
        <v>333</v>
      </c>
      <c r="F77" s="11"/>
      <c r="G77" s="49" t="s">
        <v>334</v>
      </c>
      <c r="H77" s="11"/>
    </row>
    <row r="78" ht="19.5" customHeight="1">
      <c r="A78" s="57">
        <v>1.0</v>
      </c>
      <c r="B78" s="58" t="s">
        <v>295</v>
      </c>
      <c r="C78" s="48" t="s">
        <v>383</v>
      </c>
      <c r="D78" s="11"/>
      <c r="E78" s="48" t="s">
        <v>340</v>
      </c>
      <c r="F78" s="11"/>
      <c r="G78" s="48" t="s">
        <v>112</v>
      </c>
      <c r="H78" s="11"/>
    </row>
    <row r="79" ht="19.5" customHeight="1">
      <c r="A79" s="57">
        <v>2.0</v>
      </c>
      <c r="B79" s="58" t="s">
        <v>295</v>
      </c>
      <c r="C79" s="48" t="s">
        <v>385</v>
      </c>
      <c r="D79" s="11"/>
      <c r="E79" s="48" t="s">
        <v>345</v>
      </c>
      <c r="F79" s="11"/>
      <c r="G79" s="48" t="s">
        <v>112</v>
      </c>
      <c r="H79" s="11"/>
    </row>
    <row r="80" ht="19.5" customHeight="1">
      <c r="A80" s="57">
        <v>3.0</v>
      </c>
      <c r="B80" s="58" t="s">
        <v>295</v>
      </c>
      <c r="C80" s="48" t="s">
        <v>387</v>
      </c>
      <c r="D80" s="11"/>
      <c r="E80" s="48" t="s">
        <v>388</v>
      </c>
      <c r="F80" s="11"/>
      <c r="G80" s="48" t="s">
        <v>112</v>
      </c>
      <c r="H80" s="11"/>
    </row>
    <row r="81" ht="19.5" customHeight="1">
      <c r="A81" s="57">
        <v>4.0</v>
      </c>
      <c r="B81" s="58" t="s">
        <v>295</v>
      </c>
      <c r="C81" s="48" t="s">
        <v>389</v>
      </c>
      <c r="D81" s="11"/>
      <c r="E81" s="48" t="s">
        <v>352</v>
      </c>
      <c r="F81" s="11"/>
      <c r="G81" s="48" t="s">
        <v>112</v>
      </c>
      <c r="H81" s="11"/>
    </row>
    <row r="82" ht="19.5" customHeight="1">
      <c r="A82" s="57">
        <v>5.0</v>
      </c>
      <c r="B82" s="58" t="s">
        <v>295</v>
      </c>
      <c r="C82" s="48" t="s">
        <v>391</v>
      </c>
      <c r="D82" s="11"/>
      <c r="E82" s="48" t="s">
        <v>392</v>
      </c>
      <c r="F82" s="11"/>
      <c r="G82" s="48" t="s">
        <v>112</v>
      </c>
      <c r="H82" s="11"/>
    </row>
    <row r="83" ht="19.5" customHeight="1">
      <c r="A83" s="57">
        <v>6.0</v>
      </c>
      <c r="B83" s="58"/>
      <c r="C83" s="48"/>
      <c r="D83" s="11"/>
      <c r="E83" s="48"/>
      <c r="F83" s="11"/>
      <c r="G83" s="48"/>
      <c r="H83" s="11"/>
    </row>
    <row r="84" ht="19.5" customHeight="1">
      <c r="A84" s="57">
        <v>7.0</v>
      </c>
      <c r="B84" s="58"/>
      <c r="C84" s="48"/>
      <c r="D84" s="11"/>
      <c r="E84" s="48"/>
      <c r="F84" s="11"/>
      <c r="G84" s="48"/>
      <c r="H84" s="11"/>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E80:F80"/>
    <mergeCell ref="G80:H80"/>
    <mergeCell ref="C78:D78"/>
    <mergeCell ref="E78:F78"/>
    <mergeCell ref="G78:H78"/>
    <mergeCell ref="C79:D79"/>
    <mergeCell ref="E79:F79"/>
    <mergeCell ref="G79:H79"/>
    <mergeCell ref="C80:D80"/>
    <mergeCell ref="E83:F83"/>
    <mergeCell ref="G83:H83"/>
    <mergeCell ref="C84:D84"/>
    <mergeCell ref="E84:F84"/>
    <mergeCell ref="G84:H84"/>
    <mergeCell ref="C81:D81"/>
    <mergeCell ref="E81:F81"/>
    <mergeCell ref="G81:H81"/>
    <mergeCell ref="C82:D82"/>
    <mergeCell ref="E82:F82"/>
    <mergeCell ref="G82:H82"/>
    <mergeCell ref="C83:D83"/>
    <mergeCell ref="A1:H1"/>
    <mergeCell ref="D2:E2"/>
    <mergeCell ref="G2:H2"/>
    <mergeCell ref="A3:H3"/>
    <mergeCell ref="A5:H5"/>
    <mergeCell ref="A6:H6"/>
    <mergeCell ref="A8:H8"/>
    <mergeCell ref="B9:H9"/>
    <mergeCell ref="B10:H10"/>
    <mergeCell ref="B11:H11"/>
    <mergeCell ref="B12:H12"/>
    <mergeCell ref="B13:H13"/>
    <mergeCell ref="B14:H14"/>
    <mergeCell ref="B15:H15"/>
    <mergeCell ref="A17:H17"/>
    <mergeCell ref="A19:F19"/>
    <mergeCell ref="G19:H19"/>
    <mergeCell ref="A32:F32"/>
    <mergeCell ref="G32:H32"/>
    <mergeCell ref="A49:D49"/>
    <mergeCell ref="A51:H51"/>
    <mergeCell ref="B52:H52"/>
    <mergeCell ref="B53:H53"/>
    <mergeCell ref="B54:H54"/>
    <mergeCell ref="B55:H55"/>
    <mergeCell ref="B56:H56"/>
    <mergeCell ref="B57:H57"/>
    <mergeCell ref="B58:H58"/>
    <mergeCell ref="A60:H60"/>
    <mergeCell ref="B61:H61"/>
    <mergeCell ref="B62:H62"/>
    <mergeCell ref="B63:H63"/>
    <mergeCell ref="B64:H64"/>
    <mergeCell ref="A66:H66"/>
    <mergeCell ref="A67:H67"/>
    <mergeCell ref="A69:H69"/>
    <mergeCell ref="B70:D70"/>
    <mergeCell ref="E70:H70"/>
    <mergeCell ref="B71:D71"/>
    <mergeCell ref="E71:H71"/>
    <mergeCell ref="B72:D72"/>
    <mergeCell ref="E72:H72"/>
    <mergeCell ref="B73:D73"/>
    <mergeCell ref="E73:H73"/>
    <mergeCell ref="A75:H75"/>
    <mergeCell ref="A76:H76"/>
    <mergeCell ref="C77:D77"/>
    <mergeCell ref="E77:F77"/>
    <mergeCell ref="G77:H77"/>
  </mergeCells>
  <dataValidations>
    <dataValidation type="list" allowBlank="1" sqref="G2">
      <formula1>"Not started,On track,At risk,Behind,Done"</formula1>
    </dataValidation>
    <dataValidation type="list" allowBlank="1" sqref="H20:H31 H33:H48">
      <formula1>"Not started,In progress,Done,Blocked"</formula1>
    </dataValidation>
  </dataValidations>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5"/>
    <col customWidth="1" min="2" max="2" width="7.88"/>
    <col customWidth="1" min="3" max="3" width="49.0"/>
    <col customWidth="1" min="4" max="4" width="24.5"/>
    <col customWidth="1" min="5" max="5" width="42.0"/>
    <col customWidth="1" min="6" max="6" width="17.5"/>
    <col customWidth="1" min="7" max="7" width="9.63"/>
    <col customWidth="1" min="8" max="8" width="11.38"/>
    <col customWidth="1" min="9" max="26" width="7.63"/>
  </cols>
  <sheetData>
    <row r="1" ht="25.5" customHeight="1">
      <c r="A1" s="4" t="s">
        <v>1</v>
      </c>
      <c r="B1" s="2"/>
      <c r="C1" s="2"/>
      <c r="D1" s="2"/>
      <c r="E1" s="2"/>
      <c r="F1" s="2"/>
      <c r="G1" s="2"/>
      <c r="H1" s="3"/>
    </row>
    <row r="2">
      <c r="A2" s="6" t="s">
        <v>5</v>
      </c>
      <c r="B2" s="8">
        <v>0.3</v>
      </c>
      <c r="C2" s="6" t="s">
        <v>7</v>
      </c>
      <c r="D2" s="10" t="s">
        <v>9</v>
      </c>
      <c r="E2" s="11"/>
      <c r="F2" s="6" t="s">
        <v>11</v>
      </c>
      <c r="G2" s="14" t="s">
        <v>14</v>
      </c>
      <c r="H2" s="11"/>
    </row>
    <row r="3">
      <c r="A3" s="15" t="s">
        <v>16</v>
      </c>
    </row>
    <row r="5" ht="19.5" customHeight="1">
      <c r="A5" s="7" t="s">
        <v>18</v>
      </c>
      <c r="B5" s="2"/>
      <c r="C5" s="2"/>
      <c r="D5" s="2"/>
      <c r="E5" s="2"/>
      <c r="F5" s="2"/>
      <c r="G5" s="2"/>
      <c r="H5" s="3"/>
    </row>
    <row r="6" ht="75.0" customHeight="1">
      <c r="A6" s="12" t="s">
        <v>21</v>
      </c>
      <c r="B6" s="13"/>
      <c r="C6" s="13"/>
      <c r="D6" s="13"/>
      <c r="E6" s="13"/>
      <c r="F6" s="13"/>
      <c r="G6" s="13"/>
      <c r="H6" s="11"/>
    </row>
    <row r="8" ht="19.5" customHeight="1">
      <c r="A8" s="7" t="s">
        <v>29</v>
      </c>
      <c r="B8" s="2"/>
      <c r="C8" s="2"/>
      <c r="D8" s="2"/>
      <c r="E8" s="2"/>
      <c r="F8" s="2"/>
      <c r="G8" s="2"/>
      <c r="H8" s="3"/>
    </row>
    <row r="9" ht="15.0" customHeight="1">
      <c r="A9" s="19">
        <v>1.0</v>
      </c>
      <c r="B9" s="12" t="s">
        <v>32</v>
      </c>
      <c r="C9" s="13"/>
      <c r="D9" s="13"/>
      <c r="E9" s="13"/>
      <c r="F9" s="13"/>
      <c r="G9" s="13"/>
      <c r="H9" s="11"/>
    </row>
    <row r="10" ht="15.0" customHeight="1">
      <c r="A10" s="19">
        <v>2.0</v>
      </c>
      <c r="B10" s="12" t="s">
        <v>34</v>
      </c>
      <c r="C10" s="13"/>
      <c r="D10" s="13"/>
      <c r="E10" s="13"/>
      <c r="F10" s="13"/>
      <c r="G10" s="13"/>
      <c r="H10" s="11"/>
    </row>
    <row r="11" ht="15.0" customHeight="1">
      <c r="A11" s="19">
        <v>3.0</v>
      </c>
      <c r="B11" s="12" t="s">
        <v>39</v>
      </c>
      <c r="C11" s="13"/>
      <c r="D11" s="13"/>
      <c r="E11" s="13"/>
      <c r="F11" s="13"/>
      <c r="G11" s="13"/>
      <c r="H11" s="11"/>
    </row>
    <row r="12" ht="15.0" customHeight="1">
      <c r="A12" s="19">
        <v>4.0</v>
      </c>
      <c r="B12" s="12" t="s">
        <v>41</v>
      </c>
      <c r="C12" s="13"/>
      <c r="D12" s="13"/>
      <c r="E12" s="13"/>
      <c r="F12" s="13"/>
      <c r="G12" s="13"/>
      <c r="H12" s="11"/>
    </row>
    <row r="13" ht="15.0" customHeight="1">
      <c r="A13" s="19">
        <v>5.0</v>
      </c>
      <c r="B13" s="12" t="s">
        <v>44</v>
      </c>
      <c r="C13" s="13"/>
      <c r="D13" s="13"/>
      <c r="E13" s="13"/>
      <c r="F13" s="13"/>
      <c r="G13" s="13"/>
      <c r="H13" s="11"/>
    </row>
    <row r="14" ht="15.0" customHeight="1">
      <c r="A14" s="19">
        <v>6.0</v>
      </c>
      <c r="B14" s="12" t="s">
        <v>45</v>
      </c>
      <c r="C14" s="13"/>
      <c r="D14" s="13"/>
      <c r="E14" s="13"/>
      <c r="F14" s="13"/>
      <c r="G14" s="13"/>
      <c r="H14" s="11"/>
    </row>
    <row r="15" ht="15.0" customHeight="1">
      <c r="A15" s="19">
        <v>7.0</v>
      </c>
      <c r="B15" s="12" t="s">
        <v>47</v>
      </c>
      <c r="C15" s="13"/>
      <c r="D15" s="13"/>
      <c r="E15" s="13"/>
      <c r="F15" s="13"/>
      <c r="G15" s="13"/>
      <c r="H15" s="11"/>
    </row>
    <row r="17" ht="19.5" customHeight="1">
      <c r="A17" s="7" t="s">
        <v>52</v>
      </c>
      <c r="B17" s="2"/>
      <c r="C17" s="2"/>
      <c r="D17" s="2"/>
      <c r="E17" s="2"/>
      <c r="F17" s="2"/>
      <c r="G17" s="2"/>
      <c r="H17" s="3"/>
    </row>
    <row r="18" ht="27.75" customHeight="1">
      <c r="A18" s="16" t="s">
        <v>57</v>
      </c>
      <c r="B18" s="16" t="s">
        <v>58</v>
      </c>
      <c r="C18" s="16" t="s">
        <v>59</v>
      </c>
      <c r="D18" s="16" t="s">
        <v>60</v>
      </c>
      <c r="E18" s="16" t="s">
        <v>61</v>
      </c>
      <c r="F18" s="16" t="s">
        <v>7</v>
      </c>
      <c r="G18" s="16" t="s">
        <v>62</v>
      </c>
      <c r="H18" s="16" t="s">
        <v>11</v>
      </c>
    </row>
    <row r="19" ht="18.0" customHeight="1">
      <c r="A19" s="24" t="s">
        <v>64</v>
      </c>
      <c r="B19" s="13"/>
      <c r="C19" s="13"/>
      <c r="D19" s="13"/>
      <c r="E19" s="13"/>
      <c r="F19" s="11"/>
      <c r="G19" s="25">
        <v>0.17</v>
      </c>
      <c r="H19" s="11"/>
    </row>
    <row r="20" ht="30.0" customHeight="1">
      <c r="A20" s="19">
        <v>1.0</v>
      </c>
      <c r="B20" s="26" t="s">
        <v>68</v>
      </c>
      <c r="C20" s="21" t="s">
        <v>70</v>
      </c>
      <c r="D20" s="27" t="s">
        <v>72</v>
      </c>
      <c r="E20" s="28" t="s">
        <v>73</v>
      </c>
      <c r="F20" s="27" t="s">
        <v>9</v>
      </c>
      <c r="G20" s="19" t="s">
        <v>75</v>
      </c>
      <c r="H20" s="29"/>
    </row>
    <row r="21" ht="30.0" customHeight="1">
      <c r="A21" s="19">
        <v>2.0</v>
      </c>
      <c r="B21" s="26" t="s">
        <v>68</v>
      </c>
      <c r="C21" s="21" t="s">
        <v>77</v>
      </c>
      <c r="D21" s="27" t="s">
        <v>78</v>
      </c>
      <c r="E21" s="28" t="s">
        <v>79</v>
      </c>
      <c r="F21" s="27" t="s">
        <v>9</v>
      </c>
      <c r="G21" s="19" t="s">
        <v>75</v>
      </c>
      <c r="H21" s="29"/>
    </row>
    <row r="22" ht="30.0" customHeight="1">
      <c r="A22" s="19">
        <v>3.0</v>
      </c>
      <c r="B22" s="26" t="s">
        <v>82</v>
      </c>
      <c r="C22" s="21" t="s">
        <v>83</v>
      </c>
      <c r="D22" s="27" t="s">
        <v>84</v>
      </c>
      <c r="E22" s="28" t="s">
        <v>85</v>
      </c>
      <c r="F22" s="27" t="s">
        <v>9</v>
      </c>
      <c r="G22" s="19" t="s">
        <v>87</v>
      </c>
      <c r="H22" s="29" t="s">
        <v>91</v>
      </c>
    </row>
    <row r="23" ht="30.0" customHeight="1">
      <c r="A23" s="19">
        <v>4.0</v>
      </c>
      <c r="B23" s="26" t="s">
        <v>92</v>
      </c>
      <c r="C23" s="21" t="s">
        <v>93</v>
      </c>
      <c r="D23" s="27" t="s">
        <v>95</v>
      </c>
      <c r="E23" s="28" t="s">
        <v>96</v>
      </c>
      <c r="F23" s="27" t="s">
        <v>9</v>
      </c>
      <c r="G23" s="19" t="s">
        <v>98</v>
      </c>
      <c r="H23" s="29"/>
    </row>
    <row r="24" ht="30.0" customHeight="1">
      <c r="A24" s="19">
        <v>5.0</v>
      </c>
      <c r="B24" s="26" t="s">
        <v>99</v>
      </c>
      <c r="C24" s="21" t="s">
        <v>100</v>
      </c>
      <c r="D24" s="27" t="s">
        <v>101</v>
      </c>
      <c r="E24" s="28" t="s">
        <v>102</v>
      </c>
      <c r="F24" s="27" t="s">
        <v>9</v>
      </c>
      <c r="G24" s="19" t="s">
        <v>103</v>
      </c>
      <c r="H24" s="29" t="s">
        <v>91</v>
      </c>
    </row>
    <row r="25" ht="30.0" customHeight="1">
      <c r="A25" s="31">
        <v>6.0</v>
      </c>
      <c r="B25" s="33" t="s">
        <v>108</v>
      </c>
      <c r="C25" s="34" t="s">
        <v>111</v>
      </c>
      <c r="D25" s="35" t="s">
        <v>113</v>
      </c>
      <c r="E25" s="35"/>
      <c r="F25" s="35" t="s">
        <v>9</v>
      </c>
      <c r="G25" s="31" t="s">
        <v>115</v>
      </c>
      <c r="H25" s="37"/>
    </row>
    <row r="26" ht="30.0" customHeight="1">
      <c r="A26" s="31">
        <v>7.0</v>
      </c>
      <c r="B26" s="33" t="s">
        <v>108</v>
      </c>
      <c r="C26" s="34" t="s">
        <v>119</v>
      </c>
      <c r="D26" s="35" t="s">
        <v>121</v>
      </c>
      <c r="E26" s="35" t="s">
        <v>123</v>
      </c>
      <c r="F26" s="35" t="s">
        <v>9</v>
      </c>
      <c r="G26" s="31" t="s">
        <v>115</v>
      </c>
      <c r="H26" s="37"/>
    </row>
    <row r="27" ht="30.0" customHeight="1">
      <c r="A27" s="19">
        <v>8.0</v>
      </c>
      <c r="B27" s="26" t="s">
        <v>124</v>
      </c>
      <c r="C27" s="21" t="s">
        <v>125</v>
      </c>
      <c r="D27" s="27" t="s">
        <v>126</v>
      </c>
      <c r="E27" s="28" t="s">
        <v>127</v>
      </c>
      <c r="F27" s="27" t="s">
        <v>9</v>
      </c>
      <c r="G27" s="19" t="s">
        <v>130</v>
      </c>
      <c r="H27" s="29"/>
    </row>
    <row r="28" ht="45.0" customHeight="1">
      <c r="A28" s="31">
        <v>9.0</v>
      </c>
      <c r="B28" s="33" t="s">
        <v>108</v>
      </c>
      <c r="C28" s="34" t="s">
        <v>135</v>
      </c>
      <c r="D28" s="35" t="s">
        <v>136</v>
      </c>
      <c r="E28" s="35" t="s">
        <v>137</v>
      </c>
      <c r="F28" s="35" t="s">
        <v>9</v>
      </c>
      <c r="G28" s="31" t="s">
        <v>115</v>
      </c>
      <c r="H28" s="37"/>
    </row>
    <row r="29" ht="30.0" customHeight="1">
      <c r="A29" s="19">
        <v>10.0</v>
      </c>
      <c r="B29" s="26" t="s">
        <v>124</v>
      </c>
      <c r="C29" s="21" t="s">
        <v>141</v>
      </c>
      <c r="D29" s="27" t="s">
        <v>142</v>
      </c>
      <c r="E29" s="28" t="s">
        <v>143</v>
      </c>
      <c r="F29" s="27" t="s">
        <v>9</v>
      </c>
      <c r="G29" s="19" t="s">
        <v>130</v>
      </c>
      <c r="H29" s="29"/>
    </row>
    <row r="30" ht="18.0" customHeight="1">
      <c r="A30" s="24" t="s">
        <v>146</v>
      </c>
      <c r="B30" s="13"/>
      <c r="C30" s="13"/>
      <c r="D30" s="13"/>
      <c r="E30" s="13"/>
      <c r="F30" s="11"/>
      <c r="G30" s="25">
        <v>0.13</v>
      </c>
      <c r="H30" s="11"/>
    </row>
    <row r="31" ht="30.0" customHeight="1">
      <c r="A31" s="19">
        <v>11.0</v>
      </c>
      <c r="B31" s="26" t="s">
        <v>68</v>
      </c>
      <c r="C31" s="21" t="s">
        <v>154</v>
      </c>
      <c r="D31" s="27" t="s">
        <v>156</v>
      </c>
      <c r="E31" s="28" t="s">
        <v>157</v>
      </c>
      <c r="F31" s="27" t="s">
        <v>159</v>
      </c>
      <c r="G31" s="19" t="s">
        <v>75</v>
      </c>
      <c r="H31" s="29"/>
    </row>
    <row r="32" ht="30.0" customHeight="1">
      <c r="A32" s="19">
        <v>12.0</v>
      </c>
      <c r="B32" s="26" t="s">
        <v>68</v>
      </c>
      <c r="C32" s="21" t="s">
        <v>163</v>
      </c>
      <c r="D32" s="27" t="s">
        <v>164</v>
      </c>
      <c r="E32" s="28" t="s">
        <v>165</v>
      </c>
      <c r="F32" s="27" t="s">
        <v>159</v>
      </c>
      <c r="G32" s="19" t="s">
        <v>75</v>
      </c>
      <c r="H32" s="29" t="s">
        <v>114</v>
      </c>
    </row>
    <row r="33" ht="30.0" customHeight="1">
      <c r="A33" s="19">
        <v>13.0</v>
      </c>
      <c r="B33" s="26" t="s">
        <v>68</v>
      </c>
      <c r="C33" s="21" t="s">
        <v>170</v>
      </c>
      <c r="D33" s="27" t="s">
        <v>171</v>
      </c>
      <c r="E33" s="28" t="s">
        <v>172</v>
      </c>
      <c r="F33" s="27" t="s">
        <v>159</v>
      </c>
      <c r="G33" s="19" t="s">
        <v>75</v>
      </c>
      <c r="H33" s="29"/>
    </row>
    <row r="34" ht="30.0" customHeight="1">
      <c r="A34" s="19">
        <v>14.0</v>
      </c>
      <c r="B34" s="26" t="s">
        <v>99</v>
      </c>
      <c r="C34" s="21" t="s">
        <v>177</v>
      </c>
      <c r="D34" s="27" t="s">
        <v>178</v>
      </c>
      <c r="E34" s="28"/>
      <c r="F34" s="27" t="s">
        <v>159</v>
      </c>
      <c r="G34" s="19" t="s">
        <v>103</v>
      </c>
      <c r="H34" s="29"/>
    </row>
    <row r="35" ht="30.0" customHeight="1">
      <c r="A35" s="19">
        <v>15.0</v>
      </c>
      <c r="B35" s="26" t="s">
        <v>92</v>
      </c>
      <c r="C35" s="21" t="s">
        <v>181</v>
      </c>
      <c r="D35" s="27" t="s">
        <v>183</v>
      </c>
      <c r="E35" s="28" t="s">
        <v>184</v>
      </c>
      <c r="F35" s="27" t="s">
        <v>159</v>
      </c>
      <c r="G35" s="19" t="s">
        <v>98</v>
      </c>
      <c r="H35" s="29"/>
    </row>
    <row r="36" ht="30.0" customHeight="1">
      <c r="A36" s="19">
        <v>16.0</v>
      </c>
      <c r="B36" s="26" t="s">
        <v>92</v>
      </c>
      <c r="C36" s="21" t="s">
        <v>187</v>
      </c>
      <c r="D36" s="27" t="s">
        <v>189</v>
      </c>
      <c r="E36" s="28" t="s">
        <v>190</v>
      </c>
      <c r="F36" s="27" t="s">
        <v>9</v>
      </c>
      <c r="G36" s="19" t="s">
        <v>98</v>
      </c>
      <c r="H36" s="29"/>
    </row>
    <row r="37" ht="30.0" customHeight="1">
      <c r="A37" s="31">
        <v>17.0</v>
      </c>
      <c r="B37" s="33" t="s">
        <v>108</v>
      </c>
      <c r="C37" s="34" t="s">
        <v>191</v>
      </c>
      <c r="D37" s="35" t="s">
        <v>192</v>
      </c>
      <c r="E37" s="35" t="s">
        <v>193</v>
      </c>
      <c r="F37" s="35" t="s">
        <v>159</v>
      </c>
      <c r="G37" s="31" t="s">
        <v>115</v>
      </c>
      <c r="H37" s="37"/>
    </row>
    <row r="38" ht="30.0" customHeight="1">
      <c r="A38" s="31">
        <v>18.0</v>
      </c>
      <c r="B38" s="33" t="s">
        <v>108</v>
      </c>
      <c r="C38" s="34" t="s">
        <v>200</v>
      </c>
      <c r="D38" s="35" t="s">
        <v>201</v>
      </c>
      <c r="E38" s="35"/>
      <c r="F38" s="35" t="s">
        <v>9</v>
      </c>
      <c r="G38" s="31" t="s">
        <v>115</v>
      </c>
      <c r="H38" s="37"/>
    </row>
    <row r="39" ht="30.0" customHeight="1">
      <c r="A39" s="19">
        <v>19.0</v>
      </c>
      <c r="B39" s="26" t="s">
        <v>124</v>
      </c>
      <c r="C39" s="21" t="s">
        <v>202</v>
      </c>
      <c r="D39" s="27" t="s">
        <v>204</v>
      </c>
      <c r="E39" s="28" t="s">
        <v>206</v>
      </c>
      <c r="F39" s="27" t="s">
        <v>9</v>
      </c>
      <c r="G39" s="19" t="s">
        <v>130</v>
      </c>
      <c r="H39" s="29"/>
    </row>
    <row r="40" ht="45.0" customHeight="1">
      <c r="A40" s="19">
        <v>20.0</v>
      </c>
      <c r="B40" s="26" t="s">
        <v>82</v>
      </c>
      <c r="C40" s="21" t="s">
        <v>210</v>
      </c>
      <c r="D40" s="27" t="s">
        <v>211</v>
      </c>
      <c r="E40" s="28" t="s">
        <v>212</v>
      </c>
      <c r="F40" s="27" t="s">
        <v>159</v>
      </c>
      <c r="G40" s="19" t="s">
        <v>87</v>
      </c>
      <c r="H40" s="29"/>
    </row>
    <row r="41" ht="30.0" customHeight="1">
      <c r="A41" s="19">
        <v>21.0</v>
      </c>
      <c r="B41" s="26" t="s">
        <v>124</v>
      </c>
      <c r="C41" s="21" t="s">
        <v>219</v>
      </c>
      <c r="D41" s="27" t="s">
        <v>220</v>
      </c>
      <c r="E41" s="28" t="s">
        <v>221</v>
      </c>
      <c r="F41" s="27" t="s">
        <v>159</v>
      </c>
      <c r="G41" s="19" t="s">
        <v>130</v>
      </c>
      <c r="H41" s="29"/>
    </row>
    <row r="42" ht="19.5" customHeight="1">
      <c r="A42" s="40"/>
      <c r="B42" s="40"/>
      <c r="C42" s="40"/>
      <c r="D42" s="40"/>
      <c r="E42" s="40"/>
      <c r="F42" s="40"/>
      <c r="G42" s="40"/>
      <c r="H42" s="41"/>
    </row>
    <row r="43" ht="19.5" customHeight="1">
      <c r="A43" s="40"/>
      <c r="B43" s="40"/>
      <c r="C43" s="40"/>
      <c r="D43" s="40"/>
      <c r="E43" s="40"/>
      <c r="F43" s="40"/>
      <c r="G43" s="40"/>
      <c r="H43" s="41"/>
    </row>
    <row r="44" ht="15.75" customHeight="1">
      <c r="A44" s="42" t="s">
        <v>233</v>
      </c>
      <c r="B44" s="13"/>
      <c r="C44" s="13"/>
      <c r="D44" s="11"/>
      <c r="E44" s="44">
        <f>COUNTIF(H20:H43,"Done")</f>
        <v>1</v>
      </c>
      <c r="F44" s="46" t="str">
        <f>"of "&amp;(COUNTA(C20:C43)-COUNTIF(B20:B43,"FY27-28"))&amp;" actions this year"</f>
        <v>of 16 actions this year</v>
      </c>
      <c r="G44" s="47" t="s">
        <v>27</v>
      </c>
      <c r="H44" s="43">
        <f>IFERROR($E44/(COUNTA(C20:C43)-COUNTIF(B20:B43,"FY27-28")),0)</f>
        <v>0.0625</v>
      </c>
    </row>
    <row r="45" ht="15.75" customHeight="1"/>
    <row r="46" ht="19.5" customHeight="1">
      <c r="A46" s="7" t="s">
        <v>269</v>
      </c>
      <c r="B46" s="2"/>
      <c r="C46" s="2"/>
      <c r="D46" s="2"/>
      <c r="E46" s="2"/>
      <c r="F46" s="2"/>
      <c r="G46" s="2"/>
      <c r="H46" s="3"/>
    </row>
    <row r="47" ht="15.0" customHeight="1">
      <c r="A47" s="19">
        <v>1.0</v>
      </c>
      <c r="B47" s="12" t="s">
        <v>272</v>
      </c>
      <c r="C47" s="13"/>
      <c r="D47" s="13"/>
      <c r="E47" s="13"/>
      <c r="F47" s="13"/>
      <c r="G47" s="13"/>
      <c r="H47" s="11"/>
    </row>
    <row r="48" ht="15.0" customHeight="1">
      <c r="A48" s="19">
        <v>2.0</v>
      </c>
      <c r="B48" s="12" t="s">
        <v>273</v>
      </c>
      <c r="C48" s="13"/>
      <c r="D48" s="13"/>
      <c r="E48" s="13"/>
      <c r="F48" s="13"/>
      <c r="G48" s="13"/>
      <c r="H48" s="11"/>
    </row>
    <row r="49" ht="15.0" customHeight="1">
      <c r="A49" s="19">
        <v>3.0</v>
      </c>
      <c r="B49" s="12" t="s">
        <v>275</v>
      </c>
      <c r="C49" s="13"/>
      <c r="D49" s="13"/>
      <c r="E49" s="13"/>
      <c r="F49" s="13"/>
      <c r="G49" s="13"/>
      <c r="H49" s="11"/>
    </row>
    <row r="50" ht="15.0" customHeight="1">
      <c r="A50" s="19">
        <v>4.0</v>
      </c>
      <c r="B50" s="12" t="s">
        <v>278</v>
      </c>
      <c r="C50" s="13"/>
      <c r="D50" s="13"/>
      <c r="E50" s="13"/>
      <c r="F50" s="13"/>
      <c r="G50" s="13"/>
      <c r="H50" s="11"/>
    </row>
    <row r="51" ht="15.0" customHeight="1">
      <c r="A51" s="19">
        <v>5.0</v>
      </c>
      <c r="B51" s="12" t="s">
        <v>280</v>
      </c>
      <c r="C51" s="13"/>
      <c r="D51" s="13"/>
      <c r="E51" s="13"/>
      <c r="F51" s="13"/>
      <c r="G51" s="13"/>
      <c r="H51" s="11"/>
    </row>
    <row r="52" ht="15.0" customHeight="1">
      <c r="A52" s="19">
        <v>6.0</v>
      </c>
      <c r="B52" s="12" t="s">
        <v>283</v>
      </c>
      <c r="C52" s="13"/>
      <c r="D52" s="13"/>
      <c r="E52" s="13"/>
      <c r="F52" s="13"/>
      <c r="G52" s="13"/>
      <c r="H52" s="11"/>
    </row>
    <row r="53" ht="15.0" customHeight="1">
      <c r="A53" s="19">
        <v>7.0</v>
      </c>
      <c r="B53" s="12" t="s">
        <v>286</v>
      </c>
      <c r="C53" s="13"/>
      <c r="D53" s="13"/>
      <c r="E53" s="13"/>
      <c r="F53" s="13"/>
      <c r="G53" s="13"/>
      <c r="H53" s="11"/>
    </row>
    <row r="54" ht="15.75" customHeight="1"/>
    <row r="55" ht="19.5" customHeight="1">
      <c r="A55" s="7" t="s">
        <v>289</v>
      </c>
      <c r="B55" s="2"/>
      <c r="C55" s="2"/>
      <c r="D55" s="2"/>
      <c r="E55" s="2"/>
      <c r="F55" s="2"/>
      <c r="G55" s="2"/>
      <c r="H55" s="3"/>
    </row>
    <row r="56" ht="15.0" customHeight="1">
      <c r="A56" s="19">
        <v>1.0</v>
      </c>
      <c r="B56" s="12" t="s">
        <v>293</v>
      </c>
      <c r="C56" s="13"/>
      <c r="D56" s="13"/>
      <c r="E56" s="13"/>
      <c r="F56" s="13"/>
      <c r="G56" s="13"/>
      <c r="H56" s="11"/>
    </row>
    <row r="57" ht="15.0" customHeight="1">
      <c r="A57" s="19">
        <v>2.0</v>
      </c>
      <c r="B57" s="12" t="s">
        <v>296</v>
      </c>
      <c r="C57" s="13"/>
      <c r="D57" s="13"/>
      <c r="E57" s="13"/>
      <c r="F57" s="13"/>
      <c r="G57" s="13"/>
      <c r="H57" s="11"/>
    </row>
    <row r="58" ht="15.0" customHeight="1">
      <c r="A58" s="19">
        <v>3.0</v>
      </c>
      <c r="B58" s="12" t="s">
        <v>300</v>
      </c>
      <c r="C58" s="13"/>
      <c r="D58" s="13"/>
      <c r="E58" s="13"/>
      <c r="F58" s="13"/>
      <c r="G58" s="13"/>
      <c r="H58" s="11"/>
    </row>
    <row r="59" ht="15.75" customHeight="1"/>
    <row r="60" ht="19.5" customHeight="1">
      <c r="A60" s="7" t="s">
        <v>304</v>
      </c>
      <c r="B60" s="2"/>
      <c r="C60" s="2"/>
      <c r="D60" s="2"/>
      <c r="E60" s="2"/>
      <c r="F60" s="2"/>
      <c r="G60" s="2"/>
      <c r="H60" s="3"/>
    </row>
    <row r="61" ht="30.0" customHeight="1">
      <c r="A61" s="12" t="s">
        <v>308</v>
      </c>
      <c r="B61" s="13"/>
      <c r="C61" s="13"/>
      <c r="D61" s="13"/>
      <c r="E61" s="13"/>
      <c r="F61" s="13"/>
      <c r="G61" s="13"/>
      <c r="H61" s="11"/>
    </row>
    <row r="62" ht="15.75" customHeight="1"/>
    <row r="63" ht="19.5" customHeight="1">
      <c r="A63" s="7" t="s">
        <v>309</v>
      </c>
      <c r="B63" s="2"/>
      <c r="C63" s="2"/>
      <c r="D63" s="2"/>
      <c r="E63" s="2"/>
      <c r="F63" s="2"/>
      <c r="G63" s="2"/>
      <c r="H63" s="3"/>
    </row>
    <row r="64" ht="19.5" customHeight="1">
      <c r="A64" s="16" t="s">
        <v>57</v>
      </c>
      <c r="B64" s="49" t="s">
        <v>310</v>
      </c>
      <c r="C64" s="13"/>
      <c r="D64" s="11"/>
      <c r="E64" s="49" t="s">
        <v>312</v>
      </c>
      <c r="F64" s="13"/>
      <c r="G64" s="13"/>
      <c r="H64" s="11"/>
    </row>
    <row r="65" ht="30.0" customHeight="1">
      <c r="A65" s="19">
        <v>1.0</v>
      </c>
      <c r="B65" s="12" t="s">
        <v>314</v>
      </c>
      <c r="C65" s="13"/>
      <c r="D65" s="11"/>
      <c r="E65" s="12" t="s">
        <v>316</v>
      </c>
      <c r="F65" s="13"/>
      <c r="G65" s="13"/>
      <c r="H65" s="11"/>
    </row>
    <row r="66" ht="30.0" customHeight="1">
      <c r="A66" s="19">
        <v>2.0</v>
      </c>
      <c r="B66" s="12" t="s">
        <v>318</v>
      </c>
      <c r="C66" s="13"/>
      <c r="D66" s="11"/>
      <c r="E66" s="12" t="s">
        <v>319</v>
      </c>
      <c r="F66" s="13"/>
      <c r="G66" s="13"/>
      <c r="H66" s="11"/>
    </row>
    <row r="67" ht="30.0" customHeight="1">
      <c r="A67" s="19">
        <v>3.0</v>
      </c>
      <c r="B67" s="12" t="s">
        <v>322</v>
      </c>
      <c r="C67" s="13"/>
      <c r="D67" s="11"/>
      <c r="E67" s="12" t="s">
        <v>323</v>
      </c>
      <c r="F67" s="13"/>
      <c r="G67" s="13"/>
      <c r="H67" s="11"/>
    </row>
    <row r="68" ht="15.75" customHeight="1"/>
    <row r="69" ht="19.5" customHeight="1">
      <c r="A69" s="7" t="s">
        <v>324</v>
      </c>
      <c r="B69" s="2"/>
      <c r="C69" s="2"/>
      <c r="D69" s="2"/>
      <c r="E69" s="2"/>
      <c r="F69" s="2"/>
      <c r="G69" s="2"/>
      <c r="H69" s="3"/>
    </row>
    <row r="70" ht="21.75" customHeight="1">
      <c r="A70" s="56" t="s">
        <v>326</v>
      </c>
      <c r="B70" s="13"/>
      <c r="C70" s="13"/>
      <c r="D70" s="13"/>
      <c r="E70" s="13"/>
      <c r="F70" s="13"/>
      <c r="G70" s="13"/>
      <c r="H70" s="11"/>
    </row>
    <row r="71" ht="19.5" customHeight="1">
      <c r="A71" s="16" t="s">
        <v>57</v>
      </c>
      <c r="B71" s="16" t="s">
        <v>329</v>
      </c>
      <c r="C71" s="49" t="s">
        <v>331</v>
      </c>
      <c r="D71" s="11"/>
      <c r="E71" s="49" t="s">
        <v>333</v>
      </c>
      <c r="F71" s="11"/>
      <c r="G71" s="49" t="s">
        <v>334</v>
      </c>
      <c r="H71" s="11"/>
    </row>
    <row r="72" ht="19.5" customHeight="1">
      <c r="A72" s="57">
        <v>1.0</v>
      </c>
      <c r="B72" s="58" t="s">
        <v>295</v>
      </c>
      <c r="C72" s="48" t="s">
        <v>338</v>
      </c>
      <c r="D72" s="11"/>
      <c r="E72" s="48" t="s">
        <v>340</v>
      </c>
      <c r="F72" s="11"/>
      <c r="G72" s="48" t="s">
        <v>112</v>
      </c>
      <c r="H72" s="11"/>
    </row>
    <row r="73" ht="19.5" customHeight="1">
      <c r="A73" s="57">
        <v>2.0</v>
      </c>
      <c r="B73" s="58" t="s">
        <v>295</v>
      </c>
      <c r="C73" s="48" t="s">
        <v>343</v>
      </c>
      <c r="D73" s="11"/>
      <c r="E73" s="48" t="s">
        <v>345</v>
      </c>
      <c r="F73" s="11"/>
      <c r="G73" s="48" t="s">
        <v>112</v>
      </c>
      <c r="H73" s="11"/>
    </row>
    <row r="74" ht="19.5" customHeight="1">
      <c r="A74" s="57">
        <v>3.0</v>
      </c>
      <c r="B74" s="58" t="s">
        <v>295</v>
      </c>
      <c r="C74" s="48" t="s">
        <v>348</v>
      </c>
      <c r="D74" s="11"/>
      <c r="E74" s="48" t="s">
        <v>349</v>
      </c>
      <c r="F74" s="11"/>
      <c r="G74" s="48" t="s">
        <v>112</v>
      </c>
      <c r="H74" s="11"/>
    </row>
    <row r="75" ht="19.5" customHeight="1">
      <c r="A75" s="57">
        <v>4.0</v>
      </c>
      <c r="B75" s="58" t="s">
        <v>295</v>
      </c>
      <c r="C75" s="48" t="s">
        <v>351</v>
      </c>
      <c r="D75" s="11"/>
      <c r="E75" s="48" t="s">
        <v>352</v>
      </c>
      <c r="F75" s="11"/>
      <c r="G75" s="48" t="s">
        <v>112</v>
      </c>
      <c r="H75" s="11"/>
    </row>
    <row r="76" ht="19.5" customHeight="1">
      <c r="A76" s="57">
        <v>5.0</v>
      </c>
      <c r="B76" s="58" t="s">
        <v>354</v>
      </c>
      <c r="C76" s="48" t="s">
        <v>356</v>
      </c>
      <c r="D76" s="11"/>
      <c r="E76" s="48" t="s">
        <v>358</v>
      </c>
      <c r="F76" s="11"/>
      <c r="G76" s="48" t="s">
        <v>112</v>
      </c>
      <c r="H76" s="11"/>
    </row>
    <row r="77" ht="19.5" customHeight="1">
      <c r="A77" s="57">
        <v>6.0</v>
      </c>
      <c r="B77" s="58"/>
      <c r="C77" s="48"/>
      <c r="D77" s="11"/>
      <c r="E77" s="48"/>
      <c r="F77" s="11"/>
      <c r="G77" s="48"/>
      <c r="H77" s="11"/>
    </row>
    <row r="78" ht="19.5" customHeight="1">
      <c r="A78" s="57">
        <v>7.0</v>
      </c>
      <c r="B78" s="58"/>
      <c r="C78" s="48"/>
      <c r="D78" s="11"/>
      <c r="E78" s="48"/>
      <c r="F78" s="11"/>
      <c r="G78" s="48"/>
      <c r="H78" s="11"/>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E72:F72"/>
    <mergeCell ref="G72:H72"/>
    <mergeCell ref="E67:H67"/>
    <mergeCell ref="A69:H69"/>
    <mergeCell ref="A70:H70"/>
    <mergeCell ref="C71:D71"/>
    <mergeCell ref="E71:F71"/>
    <mergeCell ref="G71:H71"/>
    <mergeCell ref="C72:D72"/>
    <mergeCell ref="E75:F75"/>
    <mergeCell ref="G75:H75"/>
    <mergeCell ref="C73:D73"/>
    <mergeCell ref="E73:F73"/>
    <mergeCell ref="G73:H73"/>
    <mergeCell ref="C74:D74"/>
    <mergeCell ref="E74:F74"/>
    <mergeCell ref="G74:H74"/>
    <mergeCell ref="C75:D75"/>
    <mergeCell ref="A1:H1"/>
    <mergeCell ref="D2:E2"/>
    <mergeCell ref="G2:H2"/>
    <mergeCell ref="A3:H3"/>
    <mergeCell ref="A5:H5"/>
    <mergeCell ref="A6:H6"/>
    <mergeCell ref="A8:H8"/>
    <mergeCell ref="B9:H9"/>
    <mergeCell ref="B10:H10"/>
    <mergeCell ref="B11:H11"/>
    <mergeCell ref="B12:H12"/>
    <mergeCell ref="B13:H13"/>
    <mergeCell ref="B14:H14"/>
    <mergeCell ref="B15:H15"/>
    <mergeCell ref="A17:H17"/>
    <mergeCell ref="A19:F19"/>
    <mergeCell ref="G19:H19"/>
    <mergeCell ref="A30:F30"/>
    <mergeCell ref="G30:H30"/>
    <mergeCell ref="A44:D44"/>
    <mergeCell ref="A46:H46"/>
    <mergeCell ref="B47:H47"/>
    <mergeCell ref="B48:H48"/>
    <mergeCell ref="B49:H49"/>
    <mergeCell ref="B50:H50"/>
    <mergeCell ref="B51:H51"/>
    <mergeCell ref="B52:H52"/>
    <mergeCell ref="B53:H53"/>
    <mergeCell ref="A55:H55"/>
    <mergeCell ref="B56:H56"/>
    <mergeCell ref="B57:H57"/>
    <mergeCell ref="B58:H58"/>
    <mergeCell ref="A60:H60"/>
    <mergeCell ref="A61:H61"/>
    <mergeCell ref="A63:H63"/>
    <mergeCell ref="B64:D64"/>
    <mergeCell ref="E64:H64"/>
    <mergeCell ref="B65:D65"/>
    <mergeCell ref="E65:H65"/>
    <mergeCell ref="B66:D66"/>
    <mergeCell ref="E66:H66"/>
    <mergeCell ref="B67:D67"/>
    <mergeCell ref="E78:F78"/>
    <mergeCell ref="G78:H78"/>
    <mergeCell ref="C76:D76"/>
    <mergeCell ref="E76:F76"/>
    <mergeCell ref="G76:H76"/>
    <mergeCell ref="C77:D77"/>
    <mergeCell ref="E77:F77"/>
    <mergeCell ref="G77:H77"/>
    <mergeCell ref="C78:D78"/>
  </mergeCells>
  <dataValidations>
    <dataValidation type="list" allowBlank="1" sqref="G2">
      <formula1>"Not started,On track,At risk,Behind,Done"</formula1>
    </dataValidation>
    <dataValidation type="list" allowBlank="1" sqref="H20:H29 H31:H43">
      <formula1>"Not started,In progress,Done,Blocked"</formula1>
    </dataValidation>
  </dataValidations>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5"/>
    <col customWidth="1" min="2" max="2" width="7.88"/>
    <col customWidth="1" min="3" max="3" width="49.0"/>
    <col customWidth="1" min="4" max="4" width="24.5"/>
    <col customWidth="1" min="5" max="5" width="42.0"/>
    <col customWidth="1" min="6" max="6" width="17.5"/>
    <col customWidth="1" min="7" max="7" width="9.63"/>
    <col customWidth="1" min="8" max="8" width="11.38"/>
    <col customWidth="1" min="9" max="26" width="7.63"/>
  </cols>
  <sheetData>
    <row r="1" ht="25.5" customHeight="1">
      <c r="A1" s="4" t="s">
        <v>4</v>
      </c>
      <c r="B1" s="2"/>
      <c r="C1" s="2"/>
      <c r="D1" s="2"/>
      <c r="E1" s="2"/>
      <c r="F1" s="2"/>
      <c r="G1" s="2"/>
      <c r="H1" s="3"/>
    </row>
    <row r="2">
      <c r="A2" s="6" t="s">
        <v>5</v>
      </c>
      <c r="B2" s="8">
        <v>0.28</v>
      </c>
      <c r="C2" s="6" t="s">
        <v>7</v>
      </c>
      <c r="D2" s="10" t="s">
        <v>13</v>
      </c>
      <c r="E2" s="11"/>
      <c r="F2" s="6" t="s">
        <v>11</v>
      </c>
      <c r="G2" s="14" t="s">
        <v>14</v>
      </c>
      <c r="H2" s="11"/>
    </row>
    <row r="3">
      <c r="A3" s="15" t="s">
        <v>16</v>
      </c>
    </row>
    <row r="5" ht="19.5" customHeight="1">
      <c r="A5" s="7" t="s">
        <v>18</v>
      </c>
      <c r="B5" s="2"/>
      <c r="C5" s="2"/>
      <c r="D5" s="2"/>
      <c r="E5" s="2"/>
      <c r="F5" s="2"/>
      <c r="G5" s="2"/>
      <c r="H5" s="3"/>
    </row>
    <row r="6" ht="60.0" customHeight="1">
      <c r="A6" s="12" t="s">
        <v>26</v>
      </c>
      <c r="B6" s="13"/>
      <c r="C6" s="13"/>
      <c r="D6" s="13"/>
      <c r="E6" s="13"/>
      <c r="F6" s="13"/>
      <c r="G6" s="13"/>
      <c r="H6" s="11"/>
    </row>
    <row r="8" ht="19.5" customHeight="1">
      <c r="A8" s="7" t="s">
        <v>29</v>
      </c>
      <c r="B8" s="2"/>
      <c r="C8" s="2"/>
      <c r="D8" s="2"/>
      <c r="E8" s="2"/>
      <c r="F8" s="2"/>
      <c r="G8" s="2"/>
      <c r="H8" s="3"/>
    </row>
    <row r="9" ht="15.0" customHeight="1">
      <c r="A9" s="19">
        <v>1.0</v>
      </c>
      <c r="B9" s="12" t="s">
        <v>33</v>
      </c>
      <c r="C9" s="13"/>
      <c r="D9" s="13"/>
      <c r="E9" s="13"/>
      <c r="F9" s="13"/>
      <c r="G9" s="13"/>
      <c r="H9" s="11"/>
    </row>
    <row r="10" ht="15.0" customHeight="1">
      <c r="A10" s="19">
        <v>2.0</v>
      </c>
      <c r="B10" s="12" t="s">
        <v>37</v>
      </c>
      <c r="C10" s="13"/>
      <c r="D10" s="13"/>
      <c r="E10" s="13"/>
      <c r="F10" s="13"/>
      <c r="G10" s="13"/>
      <c r="H10" s="11"/>
    </row>
    <row r="11" ht="15.0" customHeight="1">
      <c r="A11" s="19">
        <v>3.0</v>
      </c>
      <c r="B11" s="12" t="s">
        <v>42</v>
      </c>
      <c r="C11" s="13"/>
      <c r="D11" s="13"/>
      <c r="E11" s="13"/>
      <c r="F11" s="13"/>
      <c r="G11" s="13"/>
      <c r="H11" s="11"/>
    </row>
    <row r="12" ht="15.0" customHeight="1">
      <c r="A12" s="19">
        <v>4.0</v>
      </c>
      <c r="B12" s="12" t="s">
        <v>51</v>
      </c>
      <c r="C12" s="13"/>
      <c r="D12" s="13"/>
      <c r="E12" s="13"/>
      <c r="F12" s="13"/>
      <c r="G12" s="13"/>
      <c r="H12" s="11"/>
    </row>
    <row r="13" ht="15.0" customHeight="1">
      <c r="A13" s="19">
        <v>5.0</v>
      </c>
      <c r="B13" s="12" t="s">
        <v>56</v>
      </c>
      <c r="C13" s="13"/>
      <c r="D13" s="13"/>
      <c r="E13" s="13"/>
      <c r="F13" s="13"/>
      <c r="G13" s="13"/>
      <c r="H13" s="11"/>
    </row>
    <row r="14" ht="15.0" customHeight="1">
      <c r="A14" s="19">
        <v>6.0</v>
      </c>
      <c r="B14" s="12" t="s">
        <v>63</v>
      </c>
      <c r="C14" s="13"/>
      <c r="D14" s="13"/>
      <c r="E14" s="13"/>
      <c r="F14" s="13"/>
      <c r="G14" s="13"/>
      <c r="H14" s="11"/>
    </row>
    <row r="15" ht="15.0" customHeight="1">
      <c r="A15" s="19">
        <v>7.0</v>
      </c>
      <c r="B15" s="12" t="s">
        <v>65</v>
      </c>
      <c r="C15" s="13"/>
      <c r="D15" s="13"/>
      <c r="E15" s="13"/>
      <c r="F15" s="13"/>
      <c r="G15" s="13"/>
      <c r="H15" s="11"/>
    </row>
    <row r="17" ht="19.5" customHeight="1">
      <c r="A17" s="7" t="s">
        <v>52</v>
      </c>
      <c r="B17" s="2"/>
      <c r="C17" s="2"/>
      <c r="D17" s="2"/>
      <c r="E17" s="2"/>
      <c r="F17" s="2"/>
      <c r="G17" s="2"/>
      <c r="H17" s="3"/>
    </row>
    <row r="18" ht="27.75" customHeight="1">
      <c r="A18" s="16" t="s">
        <v>57</v>
      </c>
      <c r="B18" s="16" t="s">
        <v>58</v>
      </c>
      <c r="C18" s="16" t="s">
        <v>59</v>
      </c>
      <c r="D18" s="16" t="s">
        <v>60</v>
      </c>
      <c r="E18" s="16" t="s">
        <v>61</v>
      </c>
      <c r="F18" s="16" t="s">
        <v>7</v>
      </c>
      <c r="G18" s="16" t="s">
        <v>62</v>
      </c>
      <c r="H18" s="16" t="s">
        <v>11</v>
      </c>
    </row>
    <row r="19" ht="18.0" customHeight="1">
      <c r="A19" s="24" t="s">
        <v>76</v>
      </c>
      <c r="B19" s="13"/>
      <c r="C19" s="13"/>
      <c r="D19" s="13"/>
      <c r="E19" s="13"/>
      <c r="F19" s="11"/>
      <c r="G19" s="25">
        <v>0.11</v>
      </c>
      <c r="H19" s="11"/>
    </row>
    <row r="20" ht="30.0" customHeight="1">
      <c r="A20" s="19">
        <v>1.0</v>
      </c>
      <c r="B20" s="26" t="s">
        <v>68</v>
      </c>
      <c r="C20" s="21" t="s">
        <v>106</v>
      </c>
      <c r="D20" s="27" t="s">
        <v>109</v>
      </c>
      <c r="E20" s="28"/>
      <c r="F20" s="27" t="s">
        <v>112</v>
      </c>
      <c r="G20" s="19" t="s">
        <v>75</v>
      </c>
      <c r="H20" s="29" t="s">
        <v>91</v>
      </c>
    </row>
    <row r="21" ht="30.0" customHeight="1">
      <c r="A21" s="19">
        <v>2.0</v>
      </c>
      <c r="B21" s="26" t="s">
        <v>68</v>
      </c>
      <c r="C21" s="21" t="s">
        <v>118</v>
      </c>
      <c r="D21" s="27" t="s">
        <v>120</v>
      </c>
      <c r="E21" s="28" t="s">
        <v>122</v>
      </c>
      <c r="F21" s="27" t="s">
        <v>112</v>
      </c>
      <c r="G21" s="19" t="s">
        <v>75</v>
      </c>
      <c r="H21" s="29" t="s">
        <v>91</v>
      </c>
    </row>
    <row r="22" ht="30.0" customHeight="1">
      <c r="A22" s="19">
        <v>3.0</v>
      </c>
      <c r="B22" s="26" t="s">
        <v>99</v>
      </c>
      <c r="C22" s="21" t="s">
        <v>129</v>
      </c>
      <c r="D22" s="27" t="s">
        <v>132</v>
      </c>
      <c r="E22" s="28" t="s">
        <v>133</v>
      </c>
      <c r="F22" s="27" t="s">
        <v>112</v>
      </c>
      <c r="G22" s="19" t="s">
        <v>103</v>
      </c>
      <c r="H22" s="29"/>
    </row>
    <row r="23" ht="30.0" customHeight="1">
      <c r="A23" s="19">
        <v>4.0</v>
      </c>
      <c r="B23" s="26" t="s">
        <v>99</v>
      </c>
      <c r="C23" s="21" t="s">
        <v>138</v>
      </c>
      <c r="D23" s="27" t="s">
        <v>139</v>
      </c>
      <c r="E23" s="28" t="s">
        <v>140</v>
      </c>
      <c r="F23" s="27" t="s">
        <v>112</v>
      </c>
      <c r="G23" s="19" t="s">
        <v>103</v>
      </c>
      <c r="H23" s="29"/>
    </row>
    <row r="24" ht="30.0" customHeight="1">
      <c r="A24" s="19">
        <v>5.0</v>
      </c>
      <c r="B24" s="26" t="s">
        <v>92</v>
      </c>
      <c r="C24" s="21" t="s">
        <v>145</v>
      </c>
      <c r="D24" s="27" t="s">
        <v>147</v>
      </c>
      <c r="E24" s="28" t="s">
        <v>148</v>
      </c>
      <c r="F24" s="27" t="s">
        <v>112</v>
      </c>
      <c r="G24" s="19" t="s">
        <v>98</v>
      </c>
      <c r="H24" s="29"/>
    </row>
    <row r="25" ht="30.0" customHeight="1">
      <c r="A25" s="19">
        <v>6.0</v>
      </c>
      <c r="B25" s="26" t="s">
        <v>92</v>
      </c>
      <c r="C25" s="21" t="s">
        <v>150</v>
      </c>
      <c r="D25" s="27" t="s">
        <v>151</v>
      </c>
      <c r="E25" s="28"/>
      <c r="F25" s="27" t="s">
        <v>152</v>
      </c>
      <c r="G25" s="19" t="s">
        <v>98</v>
      </c>
      <c r="H25" s="29" t="s">
        <v>91</v>
      </c>
    </row>
    <row r="26" ht="30.0" customHeight="1">
      <c r="A26" s="19">
        <v>7.0</v>
      </c>
      <c r="B26" s="26" t="s">
        <v>124</v>
      </c>
      <c r="C26" s="21" t="s">
        <v>160</v>
      </c>
      <c r="D26" s="27" t="s">
        <v>161</v>
      </c>
      <c r="E26" s="28" t="s">
        <v>162</v>
      </c>
      <c r="F26" s="27" t="s">
        <v>112</v>
      </c>
      <c r="G26" s="19" t="s">
        <v>130</v>
      </c>
      <c r="H26" s="29"/>
    </row>
    <row r="27" ht="30.0" customHeight="1">
      <c r="A27" s="19">
        <v>8.0</v>
      </c>
      <c r="B27" s="26" t="s">
        <v>92</v>
      </c>
      <c r="C27" s="21" t="s">
        <v>167</v>
      </c>
      <c r="D27" s="27" t="s">
        <v>168</v>
      </c>
      <c r="E27" s="28" t="s">
        <v>169</v>
      </c>
      <c r="F27" s="27" t="s">
        <v>112</v>
      </c>
      <c r="G27" s="19" t="s">
        <v>98</v>
      </c>
      <c r="H27" s="29"/>
    </row>
    <row r="28" ht="30.0" customHeight="1">
      <c r="A28" s="19">
        <v>9.0</v>
      </c>
      <c r="B28" s="26" t="s">
        <v>82</v>
      </c>
      <c r="C28" s="21" t="s">
        <v>173</v>
      </c>
      <c r="D28" s="27" t="s">
        <v>174</v>
      </c>
      <c r="E28" s="28" t="s">
        <v>175</v>
      </c>
      <c r="F28" s="27" t="s">
        <v>112</v>
      </c>
      <c r="G28" s="19" t="s">
        <v>176</v>
      </c>
      <c r="H28" s="29"/>
    </row>
    <row r="29" ht="30.0" customHeight="1">
      <c r="A29" s="19">
        <v>10.0</v>
      </c>
      <c r="B29" s="26" t="s">
        <v>124</v>
      </c>
      <c r="C29" s="21" t="s">
        <v>179</v>
      </c>
      <c r="D29" s="27" t="s">
        <v>180</v>
      </c>
      <c r="E29" s="28"/>
      <c r="F29" s="27" t="s">
        <v>112</v>
      </c>
      <c r="G29" s="19" t="s">
        <v>130</v>
      </c>
      <c r="H29" s="29"/>
    </row>
    <row r="30" ht="18.0" customHeight="1">
      <c r="A30" s="24" t="s">
        <v>186</v>
      </c>
      <c r="B30" s="13"/>
      <c r="C30" s="13"/>
      <c r="D30" s="13"/>
      <c r="E30" s="13"/>
      <c r="F30" s="11"/>
      <c r="G30" s="25">
        <v>0.17</v>
      </c>
      <c r="H30" s="11"/>
    </row>
    <row r="31" ht="30.0" customHeight="1">
      <c r="A31" s="19">
        <v>11.0</v>
      </c>
      <c r="B31" s="26" t="s">
        <v>99</v>
      </c>
      <c r="C31" s="21" t="s">
        <v>195</v>
      </c>
      <c r="D31" s="27" t="s">
        <v>197</v>
      </c>
      <c r="E31" s="28" t="s">
        <v>199</v>
      </c>
      <c r="F31" s="27" t="s">
        <v>9</v>
      </c>
      <c r="G31" s="19" t="s">
        <v>103</v>
      </c>
      <c r="H31" s="29"/>
    </row>
    <row r="32" ht="30.0" customHeight="1">
      <c r="A32" s="19">
        <v>12.0</v>
      </c>
      <c r="B32" s="26" t="s">
        <v>68</v>
      </c>
      <c r="C32" s="21" t="s">
        <v>205</v>
      </c>
      <c r="D32" s="27" t="s">
        <v>207</v>
      </c>
      <c r="E32" s="28" t="s">
        <v>209</v>
      </c>
      <c r="F32" s="27" t="s">
        <v>9</v>
      </c>
      <c r="G32" s="19" t="s">
        <v>75</v>
      </c>
      <c r="H32" s="29" t="s">
        <v>114</v>
      </c>
    </row>
    <row r="33" ht="30.0" customHeight="1">
      <c r="A33" s="19">
        <v>13.0</v>
      </c>
      <c r="B33" s="26" t="s">
        <v>99</v>
      </c>
      <c r="C33" s="21" t="s">
        <v>215</v>
      </c>
      <c r="D33" s="27" t="s">
        <v>217</v>
      </c>
      <c r="E33" s="28" t="s">
        <v>218</v>
      </c>
      <c r="F33" s="27" t="s">
        <v>9</v>
      </c>
      <c r="G33" s="19" t="s">
        <v>103</v>
      </c>
      <c r="H33" s="29"/>
    </row>
    <row r="34" ht="30.0" customHeight="1">
      <c r="A34" s="19">
        <v>14.0</v>
      </c>
      <c r="B34" s="26" t="s">
        <v>92</v>
      </c>
      <c r="C34" s="21" t="s">
        <v>224</v>
      </c>
      <c r="D34" s="27" t="s">
        <v>226</v>
      </c>
      <c r="E34" s="28" t="s">
        <v>227</v>
      </c>
      <c r="F34" s="27" t="s">
        <v>9</v>
      </c>
      <c r="G34" s="19" t="s">
        <v>98</v>
      </c>
      <c r="H34" s="29"/>
    </row>
    <row r="35" ht="30.0" customHeight="1">
      <c r="A35" s="19">
        <v>15.0</v>
      </c>
      <c r="B35" s="26" t="s">
        <v>92</v>
      </c>
      <c r="C35" s="21" t="s">
        <v>229</v>
      </c>
      <c r="D35" s="27" t="s">
        <v>230</v>
      </c>
      <c r="E35" s="28" t="s">
        <v>231</v>
      </c>
      <c r="F35" s="27" t="s">
        <v>9</v>
      </c>
      <c r="G35" s="19" t="s">
        <v>98</v>
      </c>
      <c r="H35" s="29"/>
    </row>
    <row r="36" ht="30.0" customHeight="1">
      <c r="A36" s="31">
        <v>16.0</v>
      </c>
      <c r="B36" s="33" t="s">
        <v>108</v>
      </c>
      <c r="C36" s="34" t="s">
        <v>234</v>
      </c>
      <c r="D36" s="35" t="s">
        <v>235</v>
      </c>
      <c r="E36" s="35" t="s">
        <v>236</v>
      </c>
      <c r="F36" s="35" t="s">
        <v>9</v>
      </c>
      <c r="G36" s="31" t="s">
        <v>115</v>
      </c>
      <c r="H36" s="37"/>
    </row>
    <row r="37" ht="30.0" customHeight="1">
      <c r="A37" s="31">
        <v>17.0</v>
      </c>
      <c r="B37" s="33" t="s">
        <v>108</v>
      </c>
      <c r="C37" s="34" t="s">
        <v>238</v>
      </c>
      <c r="D37" s="35" t="s">
        <v>239</v>
      </c>
      <c r="E37" s="35" t="s">
        <v>240</v>
      </c>
      <c r="F37" s="35" t="s">
        <v>242</v>
      </c>
      <c r="G37" s="31" t="s">
        <v>115</v>
      </c>
      <c r="H37" s="37"/>
    </row>
    <row r="38" ht="30.0" customHeight="1">
      <c r="A38" s="19">
        <v>18.0</v>
      </c>
      <c r="B38" s="26" t="s">
        <v>124</v>
      </c>
      <c r="C38" s="21" t="s">
        <v>245</v>
      </c>
      <c r="D38" s="27" t="s">
        <v>247</v>
      </c>
      <c r="E38" s="28" t="s">
        <v>248</v>
      </c>
      <c r="F38" s="27" t="s">
        <v>9</v>
      </c>
      <c r="G38" s="19" t="s">
        <v>130</v>
      </c>
      <c r="H38" s="29"/>
    </row>
    <row r="39" ht="30.0" customHeight="1">
      <c r="A39" s="19">
        <v>19.0</v>
      </c>
      <c r="B39" s="26" t="s">
        <v>124</v>
      </c>
      <c r="C39" s="21" t="s">
        <v>251</v>
      </c>
      <c r="D39" s="27" t="s">
        <v>252</v>
      </c>
      <c r="E39" s="28" t="s">
        <v>254</v>
      </c>
      <c r="F39" s="27" t="s">
        <v>9</v>
      </c>
      <c r="G39" s="19" t="s">
        <v>130</v>
      </c>
      <c r="H39" s="29"/>
    </row>
    <row r="40" ht="19.5" customHeight="1">
      <c r="A40" s="40"/>
      <c r="B40" s="40"/>
      <c r="C40" s="40"/>
      <c r="D40" s="40"/>
      <c r="E40" s="40"/>
      <c r="F40" s="40"/>
      <c r="G40" s="40"/>
      <c r="H40" s="41"/>
    </row>
    <row r="41" ht="15.75" customHeight="1">
      <c r="A41" s="42" t="s">
        <v>233</v>
      </c>
      <c r="B41" s="13"/>
      <c r="C41" s="13"/>
      <c r="D41" s="11"/>
      <c r="E41" s="44">
        <f>COUNTIF(H20:H40,"Done")</f>
        <v>1</v>
      </c>
      <c r="F41" s="46" t="str">
        <f>"of "&amp;(COUNTA(C20:C40)-COUNTIF(B20:B40,"FY27-28"))&amp;" actions this year"</f>
        <v>of 17 actions this year</v>
      </c>
      <c r="G41" s="47" t="s">
        <v>27</v>
      </c>
      <c r="H41" s="43">
        <f>IFERROR($E41/(COUNTA(C20:C40)-COUNTIF(B20:B40,"FY27-28")),0)</f>
        <v>0.05882352941</v>
      </c>
    </row>
    <row r="42" ht="15.75" customHeight="1"/>
    <row r="43" ht="19.5" customHeight="1">
      <c r="A43" s="7" t="s">
        <v>292</v>
      </c>
      <c r="B43" s="2"/>
      <c r="C43" s="2"/>
      <c r="D43" s="2"/>
      <c r="E43" s="2"/>
      <c r="F43" s="2"/>
      <c r="G43" s="2"/>
      <c r="H43" s="3"/>
    </row>
    <row r="44" ht="25.5" customHeight="1">
      <c r="A44" s="16" t="s">
        <v>57</v>
      </c>
      <c r="B44" s="49" t="s">
        <v>297</v>
      </c>
      <c r="C44" s="11"/>
      <c r="D44" s="16" t="s">
        <v>301</v>
      </c>
      <c r="E44" s="16" t="s">
        <v>302</v>
      </c>
      <c r="F44" s="16" t="s">
        <v>303</v>
      </c>
      <c r="G44" s="16" t="s">
        <v>305</v>
      </c>
      <c r="H44" s="16" t="s">
        <v>306</v>
      </c>
    </row>
    <row r="45" ht="15.75" customHeight="1">
      <c r="A45" s="19">
        <v>1.0</v>
      </c>
      <c r="B45" s="10" t="s">
        <v>307</v>
      </c>
      <c r="C45" s="11"/>
      <c r="D45" s="50">
        <v>3.17</v>
      </c>
      <c r="E45" s="51">
        <v>3.0</v>
      </c>
      <c r="F45" s="51">
        <v>4.0</v>
      </c>
      <c r="G45" s="52" t="s">
        <v>28</v>
      </c>
      <c r="H45" s="53">
        <v>3.4</v>
      </c>
    </row>
    <row r="46" ht="15.75" customHeight="1">
      <c r="A46" s="19">
        <v>2.0</v>
      </c>
      <c r="B46" s="10" t="s">
        <v>311</v>
      </c>
      <c r="C46" s="11"/>
      <c r="D46" s="50">
        <v>3.31</v>
      </c>
      <c r="E46" s="51">
        <v>3.0</v>
      </c>
      <c r="F46" s="51">
        <v>4.0</v>
      </c>
      <c r="G46" s="52" t="s">
        <v>313</v>
      </c>
      <c r="H46" s="53">
        <v>3.5</v>
      </c>
    </row>
    <row r="47" ht="15.75" customHeight="1">
      <c r="A47" s="19">
        <v>3.0</v>
      </c>
      <c r="B47" s="10" t="s">
        <v>315</v>
      </c>
      <c r="C47" s="11"/>
      <c r="D47" s="50">
        <v>3.89</v>
      </c>
      <c r="E47" s="51">
        <v>3.0</v>
      </c>
      <c r="F47" s="51">
        <v>4.0</v>
      </c>
      <c r="G47" s="52" t="s">
        <v>49</v>
      </c>
      <c r="H47" s="53">
        <v>4.0</v>
      </c>
    </row>
    <row r="48" ht="15.75" customHeight="1">
      <c r="A48" s="19">
        <v>4.0</v>
      </c>
      <c r="B48" s="10" t="s">
        <v>317</v>
      </c>
      <c r="C48" s="11"/>
      <c r="D48" s="50">
        <v>3.38</v>
      </c>
      <c r="E48" s="51">
        <v>3.0</v>
      </c>
      <c r="F48" s="51">
        <v>4.0</v>
      </c>
      <c r="G48" s="52" t="s">
        <v>320</v>
      </c>
      <c r="H48" s="53">
        <v>3.6</v>
      </c>
    </row>
    <row r="49" ht="15.75" customHeight="1">
      <c r="A49" s="19">
        <v>5.0</v>
      </c>
      <c r="B49" s="54" t="s">
        <v>321</v>
      </c>
      <c r="C49" s="11"/>
      <c r="D49" s="55">
        <v>2.0</v>
      </c>
      <c r="E49" s="51">
        <v>3.0</v>
      </c>
      <c r="F49" s="51">
        <v>4.0</v>
      </c>
      <c r="G49" s="52" t="s">
        <v>66</v>
      </c>
      <c r="H49" s="53">
        <v>3.1</v>
      </c>
    </row>
    <row r="50" ht="15.75" customHeight="1">
      <c r="A50" s="19">
        <v>6.0</v>
      </c>
      <c r="B50" s="10" t="s">
        <v>325</v>
      </c>
      <c r="C50" s="11"/>
      <c r="D50" s="50">
        <v>2.0</v>
      </c>
      <c r="E50" s="51">
        <v>2.0</v>
      </c>
      <c r="F50" s="51">
        <v>3.0</v>
      </c>
      <c r="G50" s="52" t="s">
        <v>28</v>
      </c>
      <c r="H50" s="53">
        <v>2.3</v>
      </c>
    </row>
    <row r="51" ht="15.75" customHeight="1">
      <c r="A51" s="56" t="s">
        <v>327</v>
      </c>
      <c r="B51" s="13"/>
      <c r="C51" s="13"/>
      <c r="D51" s="13"/>
      <c r="E51" s="13"/>
      <c r="F51" s="13"/>
      <c r="G51" s="13"/>
      <c r="H51" s="11"/>
    </row>
    <row r="52" ht="15.75" customHeight="1"/>
    <row r="53" ht="19.5" customHeight="1">
      <c r="A53" s="7" t="s">
        <v>332</v>
      </c>
      <c r="B53" s="2"/>
      <c r="C53" s="2"/>
      <c r="D53" s="2"/>
      <c r="E53" s="2"/>
      <c r="F53" s="2"/>
      <c r="G53" s="2"/>
      <c r="H53" s="3"/>
    </row>
    <row r="54" ht="15.0" customHeight="1">
      <c r="A54" s="19">
        <v>1.0</v>
      </c>
      <c r="B54" s="12" t="s">
        <v>336</v>
      </c>
      <c r="C54" s="13"/>
      <c r="D54" s="13"/>
      <c r="E54" s="13"/>
      <c r="F54" s="13"/>
      <c r="G54" s="13"/>
      <c r="H54" s="11"/>
    </row>
    <row r="55" ht="15.0" customHeight="1">
      <c r="A55" s="19">
        <v>2.0</v>
      </c>
      <c r="B55" s="12" t="s">
        <v>339</v>
      </c>
      <c r="C55" s="13"/>
      <c r="D55" s="13"/>
      <c r="E55" s="13"/>
      <c r="F55" s="13"/>
      <c r="G55" s="13"/>
      <c r="H55" s="11"/>
    </row>
    <row r="56" ht="15.0" customHeight="1">
      <c r="A56" s="19">
        <v>3.0</v>
      </c>
      <c r="B56" s="12" t="s">
        <v>342</v>
      </c>
      <c r="C56" s="13"/>
      <c r="D56" s="13"/>
      <c r="E56" s="13"/>
      <c r="F56" s="13"/>
      <c r="G56" s="13"/>
      <c r="H56" s="11"/>
    </row>
    <row r="57" ht="30.0" customHeight="1">
      <c r="A57" s="19">
        <v>4.0</v>
      </c>
      <c r="B57" s="12" t="s">
        <v>346</v>
      </c>
      <c r="C57" s="13"/>
      <c r="D57" s="13"/>
      <c r="E57" s="13"/>
      <c r="F57" s="13"/>
      <c r="G57" s="13"/>
      <c r="H57" s="11"/>
    </row>
    <row r="58" ht="15.0" customHeight="1">
      <c r="A58" s="19">
        <v>5.0</v>
      </c>
      <c r="B58" s="12" t="s">
        <v>350</v>
      </c>
      <c r="C58" s="13"/>
      <c r="D58" s="13"/>
      <c r="E58" s="13"/>
      <c r="F58" s="13"/>
      <c r="G58" s="13"/>
      <c r="H58" s="11"/>
    </row>
    <row r="59" ht="15.0" customHeight="1">
      <c r="A59" s="19">
        <v>6.0</v>
      </c>
      <c r="B59" s="12" t="s">
        <v>353</v>
      </c>
      <c r="C59" s="13"/>
      <c r="D59" s="13"/>
      <c r="E59" s="13"/>
      <c r="F59" s="13"/>
      <c r="G59" s="13"/>
      <c r="H59" s="11"/>
    </row>
    <row r="60" ht="15.0" customHeight="1">
      <c r="A60" s="19">
        <v>7.0</v>
      </c>
      <c r="B60" s="12" t="s">
        <v>359</v>
      </c>
      <c r="C60" s="13"/>
      <c r="D60" s="13"/>
      <c r="E60" s="13"/>
      <c r="F60" s="13"/>
      <c r="G60" s="13"/>
      <c r="H60" s="11"/>
    </row>
    <row r="61" ht="15.75" customHeight="1"/>
    <row r="62" ht="19.5" customHeight="1">
      <c r="A62" s="7" t="s">
        <v>360</v>
      </c>
      <c r="B62" s="2"/>
      <c r="C62" s="2"/>
      <c r="D62" s="2"/>
      <c r="E62" s="2"/>
      <c r="F62" s="2"/>
      <c r="G62" s="2"/>
      <c r="H62" s="3"/>
    </row>
    <row r="63" ht="15.0" customHeight="1">
      <c r="A63" s="19">
        <v>1.0</v>
      </c>
      <c r="B63" s="12" t="s">
        <v>362</v>
      </c>
      <c r="C63" s="13"/>
      <c r="D63" s="13"/>
      <c r="E63" s="13"/>
      <c r="F63" s="13"/>
      <c r="G63" s="13"/>
      <c r="H63" s="11"/>
    </row>
    <row r="64" ht="15.0" customHeight="1">
      <c r="A64" s="19">
        <v>2.0</v>
      </c>
      <c r="B64" s="12" t="s">
        <v>364</v>
      </c>
      <c r="C64" s="13"/>
      <c r="D64" s="13"/>
      <c r="E64" s="13"/>
      <c r="F64" s="13"/>
      <c r="G64" s="13"/>
      <c r="H64" s="11"/>
    </row>
    <row r="65" ht="15.0" customHeight="1">
      <c r="A65" s="19">
        <v>3.0</v>
      </c>
      <c r="B65" s="12" t="s">
        <v>365</v>
      </c>
      <c r="C65" s="13"/>
      <c r="D65" s="13"/>
      <c r="E65" s="13"/>
      <c r="F65" s="13"/>
      <c r="G65" s="13"/>
      <c r="H65" s="11"/>
    </row>
    <row r="66" ht="15.75" customHeight="1"/>
    <row r="67" ht="19.5" customHeight="1">
      <c r="A67" s="7" t="s">
        <v>366</v>
      </c>
      <c r="B67" s="2"/>
      <c r="C67" s="2"/>
      <c r="D67" s="2"/>
      <c r="E67" s="2"/>
      <c r="F67" s="2"/>
      <c r="G67" s="2"/>
      <c r="H67" s="3"/>
    </row>
    <row r="68" ht="30.0" customHeight="1">
      <c r="A68" s="12" t="s">
        <v>368</v>
      </c>
      <c r="B68" s="13"/>
      <c r="C68" s="13"/>
      <c r="D68" s="13"/>
      <c r="E68" s="13"/>
      <c r="F68" s="13"/>
      <c r="G68" s="13"/>
      <c r="H68" s="11"/>
    </row>
    <row r="69" ht="15.75" customHeight="1"/>
    <row r="70" ht="19.5" customHeight="1">
      <c r="A70" s="7" t="s">
        <v>369</v>
      </c>
      <c r="B70" s="2"/>
      <c r="C70" s="2"/>
      <c r="D70" s="2"/>
      <c r="E70" s="2"/>
      <c r="F70" s="2"/>
      <c r="G70" s="2"/>
      <c r="H70" s="3"/>
    </row>
    <row r="71" ht="19.5" customHeight="1">
      <c r="A71" s="16" t="s">
        <v>57</v>
      </c>
      <c r="B71" s="49" t="s">
        <v>310</v>
      </c>
      <c r="C71" s="13"/>
      <c r="D71" s="11"/>
      <c r="E71" s="49" t="s">
        <v>312</v>
      </c>
      <c r="F71" s="13"/>
      <c r="G71" s="13"/>
      <c r="H71" s="11"/>
    </row>
    <row r="72" ht="30.0" customHeight="1">
      <c r="A72" s="19">
        <v>1.0</v>
      </c>
      <c r="B72" s="12" t="s">
        <v>373</v>
      </c>
      <c r="C72" s="13"/>
      <c r="D72" s="11"/>
      <c r="E72" s="12" t="s">
        <v>375</v>
      </c>
      <c r="F72" s="13"/>
      <c r="G72" s="13"/>
      <c r="H72" s="11"/>
    </row>
    <row r="73" ht="30.0" customHeight="1">
      <c r="A73" s="19">
        <v>2.0</v>
      </c>
      <c r="B73" s="12" t="s">
        <v>378</v>
      </c>
      <c r="C73" s="13"/>
      <c r="D73" s="11"/>
      <c r="E73" s="12" t="s">
        <v>379</v>
      </c>
      <c r="F73" s="13"/>
      <c r="G73" s="13"/>
      <c r="H73" s="11"/>
    </row>
    <row r="74" ht="30.0" customHeight="1">
      <c r="A74" s="19">
        <v>3.0</v>
      </c>
      <c r="B74" s="12" t="s">
        <v>380</v>
      </c>
      <c r="C74" s="13"/>
      <c r="D74" s="11"/>
      <c r="E74" s="12" t="s">
        <v>381</v>
      </c>
      <c r="F74" s="13"/>
      <c r="G74" s="13"/>
      <c r="H74" s="11"/>
    </row>
    <row r="75" ht="15.75" customHeight="1"/>
    <row r="76" ht="19.5" customHeight="1">
      <c r="A76" s="7" t="s">
        <v>382</v>
      </c>
      <c r="B76" s="2"/>
      <c r="C76" s="2"/>
      <c r="D76" s="2"/>
      <c r="E76" s="2"/>
      <c r="F76" s="2"/>
      <c r="G76" s="2"/>
      <c r="H76" s="3"/>
    </row>
    <row r="77" ht="21.75" customHeight="1">
      <c r="A77" s="56" t="s">
        <v>326</v>
      </c>
      <c r="B77" s="13"/>
      <c r="C77" s="13"/>
      <c r="D77" s="13"/>
      <c r="E77" s="13"/>
      <c r="F77" s="13"/>
      <c r="G77" s="13"/>
      <c r="H77" s="11"/>
    </row>
    <row r="78" ht="19.5" customHeight="1">
      <c r="A78" s="16" t="s">
        <v>57</v>
      </c>
      <c r="B78" s="16" t="s">
        <v>329</v>
      </c>
      <c r="C78" s="49" t="s">
        <v>331</v>
      </c>
      <c r="D78" s="11"/>
      <c r="E78" s="49" t="s">
        <v>333</v>
      </c>
      <c r="F78" s="11"/>
      <c r="G78" s="49" t="s">
        <v>334</v>
      </c>
      <c r="H78" s="11"/>
    </row>
    <row r="79" ht="19.5" customHeight="1">
      <c r="A79" s="57">
        <v>1.0</v>
      </c>
      <c r="B79" s="58" t="s">
        <v>295</v>
      </c>
      <c r="C79" s="48" t="s">
        <v>384</v>
      </c>
      <c r="D79" s="11"/>
      <c r="E79" s="48" t="s">
        <v>340</v>
      </c>
      <c r="F79" s="11"/>
      <c r="G79" s="48" t="s">
        <v>112</v>
      </c>
      <c r="H79" s="11"/>
    </row>
    <row r="80" ht="19.5" customHeight="1">
      <c r="A80" s="57">
        <v>2.0</v>
      </c>
      <c r="B80" s="58" t="s">
        <v>295</v>
      </c>
      <c r="C80" s="48" t="s">
        <v>386</v>
      </c>
      <c r="D80" s="11"/>
      <c r="E80" s="48" t="s">
        <v>345</v>
      </c>
      <c r="F80" s="11"/>
      <c r="G80" s="48" t="s">
        <v>112</v>
      </c>
      <c r="H80" s="11"/>
    </row>
    <row r="81" ht="19.5" customHeight="1">
      <c r="A81" s="57">
        <v>3.0</v>
      </c>
      <c r="B81" s="58" t="s">
        <v>295</v>
      </c>
      <c r="C81" s="48" t="s">
        <v>390</v>
      </c>
      <c r="D81" s="11"/>
      <c r="E81" s="48" t="s">
        <v>349</v>
      </c>
      <c r="F81" s="11"/>
      <c r="G81" s="48" t="s">
        <v>112</v>
      </c>
      <c r="H81" s="11"/>
    </row>
    <row r="82" ht="19.5" customHeight="1">
      <c r="A82" s="57">
        <v>4.0</v>
      </c>
      <c r="B82" s="58" t="s">
        <v>295</v>
      </c>
      <c r="C82" s="48" t="s">
        <v>394</v>
      </c>
      <c r="D82" s="11"/>
      <c r="E82" s="48" t="s">
        <v>352</v>
      </c>
      <c r="F82" s="11"/>
      <c r="G82" s="48" t="s">
        <v>112</v>
      </c>
      <c r="H82" s="11"/>
    </row>
    <row r="83" ht="19.5" customHeight="1">
      <c r="A83" s="57">
        <v>5.0</v>
      </c>
      <c r="B83" s="58" t="s">
        <v>354</v>
      </c>
      <c r="C83" s="48" t="s">
        <v>395</v>
      </c>
      <c r="D83" s="11"/>
      <c r="E83" s="48" t="s">
        <v>358</v>
      </c>
      <c r="F83" s="11"/>
      <c r="G83" s="48" t="s">
        <v>112</v>
      </c>
      <c r="H83" s="11"/>
    </row>
    <row r="84" ht="19.5" customHeight="1">
      <c r="A84" s="57">
        <v>6.0</v>
      </c>
      <c r="B84" s="58"/>
      <c r="C84" s="48"/>
      <c r="D84" s="11"/>
      <c r="E84" s="48"/>
      <c r="F84" s="11"/>
      <c r="G84" s="48"/>
      <c r="H84" s="11"/>
    </row>
    <row r="85" ht="19.5" customHeight="1">
      <c r="A85" s="57">
        <v>7.0</v>
      </c>
      <c r="B85" s="58"/>
      <c r="C85" s="48"/>
      <c r="D85" s="11"/>
      <c r="E85" s="48"/>
      <c r="F85" s="11"/>
      <c r="G85" s="48"/>
      <c r="H85" s="11"/>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A68:H68"/>
    <mergeCell ref="A70:H70"/>
    <mergeCell ref="B71:D71"/>
    <mergeCell ref="E71:H71"/>
    <mergeCell ref="B72:D72"/>
    <mergeCell ref="E72:H72"/>
    <mergeCell ref="E73:H73"/>
    <mergeCell ref="E79:F79"/>
    <mergeCell ref="G79:H79"/>
    <mergeCell ref="E74:H74"/>
    <mergeCell ref="A76:H76"/>
    <mergeCell ref="A77:H77"/>
    <mergeCell ref="C78:D78"/>
    <mergeCell ref="E78:F78"/>
    <mergeCell ref="G78:H78"/>
    <mergeCell ref="C79:D79"/>
    <mergeCell ref="E82:F82"/>
    <mergeCell ref="G82:H82"/>
    <mergeCell ref="C80:D80"/>
    <mergeCell ref="E80:F80"/>
    <mergeCell ref="G80:H80"/>
    <mergeCell ref="C81:D81"/>
    <mergeCell ref="E81:F81"/>
    <mergeCell ref="G81:H81"/>
    <mergeCell ref="C82:D82"/>
    <mergeCell ref="E85:F85"/>
    <mergeCell ref="G85:H85"/>
    <mergeCell ref="C83:D83"/>
    <mergeCell ref="E83:F83"/>
    <mergeCell ref="G83:H83"/>
    <mergeCell ref="C84:D84"/>
    <mergeCell ref="E84:F84"/>
    <mergeCell ref="G84:H84"/>
    <mergeCell ref="C85:D85"/>
    <mergeCell ref="A1:H1"/>
    <mergeCell ref="D2:E2"/>
    <mergeCell ref="G2:H2"/>
    <mergeCell ref="A3:H3"/>
    <mergeCell ref="A5:H5"/>
    <mergeCell ref="A6:H6"/>
    <mergeCell ref="A8:H8"/>
    <mergeCell ref="B9:H9"/>
    <mergeCell ref="B10:H10"/>
    <mergeCell ref="B11:H11"/>
    <mergeCell ref="B12:H12"/>
    <mergeCell ref="B13:H13"/>
    <mergeCell ref="B14:H14"/>
    <mergeCell ref="B15:H15"/>
    <mergeCell ref="A17:H17"/>
    <mergeCell ref="A19:F19"/>
    <mergeCell ref="G19:H19"/>
    <mergeCell ref="A30:F30"/>
    <mergeCell ref="G30:H30"/>
    <mergeCell ref="A41:D41"/>
    <mergeCell ref="A43:H43"/>
    <mergeCell ref="B44:C44"/>
    <mergeCell ref="B45:C45"/>
    <mergeCell ref="B46:C46"/>
    <mergeCell ref="B47:C47"/>
    <mergeCell ref="B48:C48"/>
    <mergeCell ref="B49:C49"/>
    <mergeCell ref="B50:C50"/>
    <mergeCell ref="A51:H51"/>
    <mergeCell ref="A53:H53"/>
    <mergeCell ref="B54:H54"/>
    <mergeCell ref="B55:H55"/>
    <mergeCell ref="B56:H56"/>
    <mergeCell ref="B57:H57"/>
    <mergeCell ref="B58:H58"/>
    <mergeCell ref="B59:H59"/>
    <mergeCell ref="B60:H60"/>
    <mergeCell ref="A62:H62"/>
    <mergeCell ref="B63:H63"/>
    <mergeCell ref="B64:H64"/>
    <mergeCell ref="B65:H65"/>
    <mergeCell ref="A67:H67"/>
    <mergeCell ref="B73:D73"/>
    <mergeCell ref="B74:D74"/>
  </mergeCells>
  <dataValidations>
    <dataValidation type="list" allowBlank="1" sqref="G2">
      <formula1>"Not started,On track,At risk,Behind,Done"</formula1>
    </dataValidation>
    <dataValidation type="list" allowBlank="1" sqref="H20:H29 H31:H40">
      <formula1>"Not started,In progress,Done,Blocked"</formula1>
    </dataValidation>
  </dataValidations>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5"/>
    <col customWidth="1" min="2" max="2" width="7.88"/>
    <col customWidth="1" min="3" max="3" width="49.0"/>
    <col customWidth="1" min="4" max="4" width="24.5"/>
    <col customWidth="1" min="5" max="5" width="42.0"/>
    <col customWidth="1" min="6" max="6" width="17.5"/>
    <col customWidth="1" min="7" max="7" width="9.63"/>
    <col customWidth="1" min="8" max="8" width="11.38"/>
    <col customWidth="1" min="9" max="26" width="7.63"/>
  </cols>
  <sheetData>
    <row r="1" ht="25.5" customHeight="1">
      <c r="A1" s="4" t="s">
        <v>393</v>
      </c>
      <c r="B1" s="2"/>
      <c r="C1" s="2"/>
      <c r="D1" s="2"/>
      <c r="E1" s="2"/>
      <c r="F1" s="2"/>
      <c r="G1" s="2"/>
      <c r="H1" s="3"/>
    </row>
    <row r="2">
      <c r="A2" s="6" t="s">
        <v>5</v>
      </c>
      <c r="B2" s="8">
        <v>0.08</v>
      </c>
      <c r="C2" s="6" t="s">
        <v>7</v>
      </c>
      <c r="D2" s="10" t="s">
        <v>89</v>
      </c>
      <c r="E2" s="11"/>
      <c r="F2" s="6" t="s">
        <v>11</v>
      </c>
      <c r="G2" s="14" t="s">
        <v>14</v>
      </c>
      <c r="H2" s="11"/>
    </row>
    <row r="3">
      <c r="A3" s="15" t="s">
        <v>16</v>
      </c>
    </row>
    <row r="5" ht="19.5" customHeight="1">
      <c r="A5" s="7" t="s">
        <v>18</v>
      </c>
      <c r="B5" s="2"/>
      <c r="C5" s="2"/>
      <c r="D5" s="2"/>
      <c r="E5" s="2"/>
      <c r="F5" s="2"/>
      <c r="G5" s="2"/>
      <c r="H5" s="3"/>
    </row>
    <row r="6" ht="60.0" customHeight="1">
      <c r="A6" s="12" t="s">
        <v>396</v>
      </c>
      <c r="B6" s="13"/>
      <c r="C6" s="13"/>
      <c r="D6" s="13"/>
      <c r="E6" s="13"/>
      <c r="F6" s="13"/>
      <c r="G6" s="13"/>
      <c r="H6" s="11"/>
    </row>
    <row r="8" ht="19.5" customHeight="1">
      <c r="A8" s="7" t="s">
        <v>29</v>
      </c>
      <c r="B8" s="2"/>
      <c r="C8" s="2"/>
      <c r="D8" s="2"/>
      <c r="E8" s="2"/>
      <c r="F8" s="2"/>
      <c r="G8" s="2"/>
      <c r="H8" s="3"/>
    </row>
    <row r="9" ht="15.0" customHeight="1">
      <c r="A9" s="19">
        <v>1.0</v>
      </c>
      <c r="B9" s="12" t="s">
        <v>397</v>
      </c>
      <c r="C9" s="13"/>
      <c r="D9" s="13"/>
      <c r="E9" s="13"/>
      <c r="F9" s="13"/>
      <c r="G9" s="13"/>
      <c r="H9" s="11"/>
    </row>
    <row r="10" ht="15.0" customHeight="1">
      <c r="A10" s="19">
        <v>2.0</v>
      </c>
      <c r="B10" s="12" t="s">
        <v>398</v>
      </c>
      <c r="C10" s="13"/>
      <c r="D10" s="13"/>
      <c r="E10" s="13"/>
      <c r="F10" s="13"/>
      <c r="G10" s="13"/>
      <c r="H10" s="11"/>
    </row>
    <row r="11" ht="15.0" customHeight="1">
      <c r="A11" s="19">
        <v>3.0</v>
      </c>
      <c r="B11" s="12" t="s">
        <v>399</v>
      </c>
      <c r="C11" s="13"/>
      <c r="D11" s="13"/>
      <c r="E11" s="13"/>
      <c r="F11" s="13"/>
      <c r="G11" s="13"/>
      <c r="H11" s="11"/>
    </row>
    <row r="12" ht="15.0" customHeight="1">
      <c r="A12" s="19">
        <v>4.0</v>
      </c>
      <c r="B12" s="12" t="s">
        <v>400</v>
      </c>
      <c r="C12" s="13"/>
      <c r="D12" s="13"/>
      <c r="E12" s="13"/>
      <c r="F12" s="13"/>
      <c r="G12" s="13"/>
      <c r="H12" s="11"/>
    </row>
    <row r="13" ht="15.0" customHeight="1">
      <c r="A13" s="19">
        <v>5.0</v>
      </c>
      <c r="B13" s="12" t="s">
        <v>401</v>
      </c>
      <c r="C13" s="13"/>
      <c r="D13" s="13"/>
      <c r="E13" s="13"/>
      <c r="F13" s="13"/>
      <c r="G13" s="13"/>
      <c r="H13" s="11"/>
    </row>
    <row r="15" ht="19.5" customHeight="1">
      <c r="A15" s="7" t="s">
        <v>52</v>
      </c>
      <c r="B15" s="2"/>
      <c r="C15" s="2"/>
      <c r="D15" s="2"/>
      <c r="E15" s="2"/>
      <c r="F15" s="2"/>
      <c r="G15" s="2"/>
      <c r="H15" s="3"/>
    </row>
    <row r="16" ht="27.75" customHeight="1">
      <c r="A16" s="16" t="s">
        <v>57</v>
      </c>
      <c r="B16" s="16" t="s">
        <v>58</v>
      </c>
      <c r="C16" s="16" t="s">
        <v>59</v>
      </c>
      <c r="D16" s="16" t="s">
        <v>60</v>
      </c>
      <c r="E16" s="16" t="s">
        <v>61</v>
      </c>
      <c r="F16" s="16" t="s">
        <v>7</v>
      </c>
      <c r="G16" s="16" t="s">
        <v>62</v>
      </c>
      <c r="H16" s="16" t="s">
        <v>11</v>
      </c>
    </row>
    <row r="17" ht="30.0" customHeight="1">
      <c r="A17" s="19">
        <v>1.0</v>
      </c>
      <c r="B17" s="26" t="s">
        <v>99</v>
      </c>
      <c r="C17" s="21" t="s">
        <v>402</v>
      </c>
      <c r="D17" s="27" t="s">
        <v>403</v>
      </c>
      <c r="E17" s="28" t="s">
        <v>404</v>
      </c>
      <c r="F17" s="27" t="s">
        <v>89</v>
      </c>
      <c r="G17" s="19" t="s">
        <v>103</v>
      </c>
      <c r="H17" s="29"/>
    </row>
    <row r="18" ht="30.0" customHeight="1">
      <c r="A18" s="19">
        <v>2.0</v>
      </c>
      <c r="B18" s="26" t="s">
        <v>99</v>
      </c>
      <c r="C18" s="21" t="s">
        <v>405</v>
      </c>
      <c r="D18" s="27" t="s">
        <v>406</v>
      </c>
      <c r="E18" s="28" t="s">
        <v>407</v>
      </c>
      <c r="F18" s="27" t="s">
        <v>9</v>
      </c>
      <c r="G18" s="19" t="s">
        <v>103</v>
      </c>
      <c r="H18" s="29"/>
    </row>
    <row r="19" ht="30.0" customHeight="1">
      <c r="A19" s="19">
        <v>3.0</v>
      </c>
      <c r="B19" s="26" t="s">
        <v>99</v>
      </c>
      <c r="C19" s="21" t="s">
        <v>408</v>
      </c>
      <c r="D19" s="27" t="s">
        <v>409</v>
      </c>
      <c r="E19" s="28" t="s">
        <v>410</v>
      </c>
      <c r="F19" s="27" t="s">
        <v>9</v>
      </c>
      <c r="G19" s="19" t="s">
        <v>103</v>
      </c>
      <c r="H19" s="29"/>
    </row>
    <row r="20" ht="30.0" customHeight="1">
      <c r="A20" s="19">
        <v>4.0</v>
      </c>
      <c r="B20" s="26" t="s">
        <v>82</v>
      </c>
      <c r="C20" s="21" t="s">
        <v>411</v>
      </c>
      <c r="D20" s="27" t="s">
        <v>412</v>
      </c>
      <c r="E20" s="28" t="s">
        <v>413</v>
      </c>
      <c r="F20" s="27" t="s">
        <v>89</v>
      </c>
      <c r="G20" s="19" t="s">
        <v>176</v>
      </c>
      <c r="H20" s="29" t="s">
        <v>91</v>
      </c>
    </row>
    <row r="21" ht="30.0" customHeight="1">
      <c r="A21" s="19">
        <v>5.0</v>
      </c>
      <c r="B21" s="26" t="s">
        <v>82</v>
      </c>
      <c r="C21" s="21" t="s">
        <v>414</v>
      </c>
      <c r="D21" s="27" t="s">
        <v>84</v>
      </c>
      <c r="E21" s="28" t="s">
        <v>415</v>
      </c>
      <c r="F21" s="27" t="s">
        <v>9</v>
      </c>
      <c r="G21" s="19" t="s">
        <v>87</v>
      </c>
      <c r="H21" s="29"/>
    </row>
    <row r="22" ht="30.0" customHeight="1">
      <c r="A22" s="19">
        <v>6.0</v>
      </c>
      <c r="B22" s="26" t="s">
        <v>92</v>
      </c>
      <c r="C22" s="21" t="s">
        <v>416</v>
      </c>
      <c r="D22" s="27" t="s">
        <v>417</v>
      </c>
      <c r="E22" s="28" t="s">
        <v>418</v>
      </c>
      <c r="F22" s="27" t="s">
        <v>10</v>
      </c>
      <c r="G22" s="19" t="s">
        <v>98</v>
      </c>
      <c r="H22" s="29"/>
    </row>
    <row r="23" ht="30.0" customHeight="1">
      <c r="A23" s="19">
        <v>7.0</v>
      </c>
      <c r="B23" s="26" t="s">
        <v>124</v>
      </c>
      <c r="C23" s="21" t="s">
        <v>419</v>
      </c>
      <c r="D23" s="27" t="s">
        <v>420</v>
      </c>
      <c r="E23" s="28" t="s">
        <v>421</v>
      </c>
      <c r="F23" s="27" t="s">
        <v>89</v>
      </c>
      <c r="G23" s="19" t="s">
        <v>130</v>
      </c>
      <c r="H23" s="29"/>
    </row>
    <row r="24" ht="19.5" customHeight="1">
      <c r="A24" s="40"/>
      <c r="B24" s="40"/>
      <c r="C24" s="40"/>
      <c r="D24" s="40"/>
      <c r="E24" s="40"/>
      <c r="F24" s="40"/>
      <c r="G24" s="40"/>
      <c r="H24" s="41"/>
    </row>
    <row r="25" ht="19.5" customHeight="1">
      <c r="A25" s="40"/>
      <c r="B25" s="40"/>
      <c r="C25" s="40"/>
      <c r="D25" s="40"/>
      <c r="E25" s="40"/>
      <c r="F25" s="40"/>
      <c r="G25" s="40"/>
      <c r="H25" s="41"/>
    </row>
    <row r="26" ht="19.5" customHeight="1">
      <c r="A26" s="40"/>
      <c r="B26" s="40"/>
      <c r="C26" s="40"/>
      <c r="D26" s="40"/>
      <c r="E26" s="40"/>
      <c r="F26" s="40"/>
      <c r="G26" s="40"/>
      <c r="H26" s="41"/>
    </row>
    <row r="27" ht="19.5" customHeight="1">
      <c r="A27" s="40"/>
      <c r="B27" s="40"/>
      <c r="C27" s="40"/>
      <c r="D27" s="40"/>
      <c r="E27" s="40"/>
      <c r="F27" s="40"/>
      <c r="G27" s="40"/>
      <c r="H27" s="41"/>
    </row>
    <row r="28" ht="19.5" customHeight="1">
      <c r="A28" s="40"/>
      <c r="B28" s="40"/>
      <c r="C28" s="40"/>
      <c r="D28" s="40"/>
      <c r="E28" s="40"/>
      <c r="F28" s="40"/>
      <c r="G28" s="40"/>
      <c r="H28" s="41"/>
    </row>
    <row r="29" ht="15.75" customHeight="1">
      <c r="A29" s="42" t="s">
        <v>233</v>
      </c>
      <c r="B29" s="13"/>
      <c r="C29" s="13"/>
      <c r="D29" s="11"/>
      <c r="E29" s="44">
        <f>COUNTIF(H17:H28,"Done")</f>
        <v>0</v>
      </c>
      <c r="F29" s="46" t="str">
        <f>"of "&amp;(COUNTA(C17:C28)-COUNTIF(B17:B28,"FY27-28"))&amp;" actions this year"</f>
        <v>of 7 actions this year</v>
      </c>
      <c r="G29" s="47" t="s">
        <v>27</v>
      </c>
      <c r="H29" s="43">
        <f>IFERROR($E29/(COUNTA(C17:C28)-COUNTIF(B17:B28,"FY27-28")),0)</f>
        <v>0</v>
      </c>
    </row>
    <row r="30" ht="15.75" customHeight="1"/>
    <row r="31" ht="19.5" customHeight="1">
      <c r="A31" s="7" t="s">
        <v>269</v>
      </c>
      <c r="B31" s="2"/>
      <c r="C31" s="2"/>
      <c r="D31" s="2"/>
      <c r="E31" s="2"/>
      <c r="F31" s="2"/>
      <c r="G31" s="2"/>
      <c r="H31" s="3"/>
    </row>
    <row r="32" ht="15.0" customHeight="1">
      <c r="A32" s="19">
        <v>1.0</v>
      </c>
      <c r="B32" s="12" t="s">
        <v>423</v>
      </c>
      <c r="C32" s="13"/>
      <c r="D32" s="13"/>
      <c r="E32" s="13"/>
      <c r="F32" s="13"/>
      <c r="G32" s="13"/>
      <c r="H32" s="11"/>
    </row>
    <row r="33" ht="15.0" customHeight="1">
      <c r="A33" s="19">
        <v>2.0</v>
      </c>
      <c r="B33" s="12" t="s">
        <v>424</v>
      </c>
      <c r="C33" s="13"/>
      <c r="D33" s="13"/>
      <c r="E33" s="13"/>
      <c r="F33" s="13"/>
      <c r="G33" s="13"/>
      <c r="H33" s="11"/>
    </row>
    <row r="34" ht="15.0" customHeight="1">
      <c r="A34" s="19">
        <v>3.0</v>
      </c>
      <c r="B34" s="12" t="s">
        <v>426</v>
      </c>
      <c r="C34" s="13"/>
      <c r="D34" s="13"/>
      <c r="E34" s="13"/>
      <c r="F34" s="13"/>
      <c r="G34" s="13"/>
      <c r="H34" s="11"/>
    </row>
    <row r="35" ht="15.0" customHeight="1">
      <c r="A35" s="19">
        <v>4.0</v>
      </c>
      <c r="B35" s="12" t="s">
        <v>427</v>
      </c>
      <c r="C35" s="13"/>
      <c r="D35" s="13"/>
      <c r="E35" s="13"/>
      <c r="F35" s="13"/>
      <c r="G35" s="13"/>
      <c r="H35" s="11"/>
    </row>
    <row r="36" ht="15.0" customHeight="1">
      <c r="A36" s="19">
        <v>5.0</v>
      </c>
      <c r="B36" s="12" t="s">
        <v>429</v>
      </c>
      <c r="C36" s="13"/>
      <c r="D36" s="13"/>
      <c r="E36" s="13"/>
      <c r="F36" s="13"/>
      <c r="G36" s="13"/>
      <c r="H36" s="11"/>
    </row>
    <row r="37" ht="15.0" customHeight="1">
      <c r="A37" s="19">
        <v>6.0</v>
      </c>
      <c r="B37" s="12" t="s">
        <v>430</v>
      </c>
      <c r="C37" s="13"/>
      <c r="D37" s="13"/>
      <c r="E37" s="13"/>
      <c r="F37" s="13"/>
      <c r="G37" s="13"/>
      <c r="H37" s="11"/>
    </row>
    <row r="38" ht="15.75" customHeight="1"/>
    <row r="39" ht="19.5" customHeight="1">
      <c r="A39" s="7" t="s">
        <v>289</v>
      </c>
      <c r="B39" s="2"/>
      <c r="C39" s="2"/>
      <c r="D39" s="2"/>
      <c r="E39" s="2"/>
      <c r="F39" s="2"/>
      <c r="G39" s="2"/>
      <c r="H39" s="3"/>
    </row>
    <row r="40" ht="15.0" customHeight="1">
      <c r="A40" s="19">
        <v>1.0</v>
      </c>
      <c r="B40" s="12" t="s">
        <v>431</v>
      </c>
      <c r="C40" s="13"/>
      <c r="D40" s="13"/>
      <c r="E40" s="13"/>
      <c r="F40" s="13"/>
      <c r="G40" s="13"/>
      <c r="H40" s="11"/>
    </row>
    <row r="41" ht="15.0" customHeight="1">
      <c r="A41" s="19">
        <v>2.0</v>
      </c>
      <c r="B41" s="12" t="s">
        <v>433</v>
      </c>
      <c r="C41" s="13"/>
      <c r="D41" s="13"/>
      <c r="E41" s="13"/>
      <c r="F41" s="13"/>
      <c r="G41" s="13"/>
      <c r="H41" s="11"/>
    </row>
    <row r="42" ht="15.0" customHeight="1">
      <c r="A42" s="19">
        <v>3.0</v>
      </c>
      <c r="B42" s="12" t="s">
        <v>434</v>
      </c>
      <c r="C42" s="13"/>
      <c r="D42" s="13"/>
      <c r="E42" s="13"/>
      <c r="F42" s="13"/>
      <c r="G42" s="13"/>
      <c r="H42" s="11"/>
    </row>
    <row r="43" ht="15.75" customHeight="1"/>
    <row r="44" ht="19.5" customHeight="1">
      <c r="A44" s="7" t="s">
        <v>304</v>
      </c>
      <c r="B44" s="2"/>
      <c r="C44" s="2"/>
      <c r="D44" s="2"/>
      <c r="E44" s="2"/>
      <c r="F44" s="2"/>
      <c r="G44" s="2"/>
      <c r="H44" s="3"/>
    </row>
    <row r="45" ht="30.0" customHeight="1">
      <c r="A45" s="12" t="s">
        <v>437</v>
      </c>
      <c r="B45" s="13"/>
      <c r="C45" s="13"/>
      <c r="D45" s="13"/>
      <c r="E45" s="13"/>
      <c r="F45" s="13"/>
      <c r="G45" s="13"/>
      <c r="H45" s="11"/>
    </row>
    <row r="46" ht="15.75" customHeight="1"/>
    <row r="47" ht="19.5" customHeight="1">
      <c r="A47" s="7" t="s">
        <v>309</v>
      </c>
      <c r="B47" s="2"/>
      <c r="C47" s="2"/>
      <c r="D47" s="2"/>
      <c r="E47" s="2"/>
      <c r="F47" s="2"/>
      <c r="G47" s="2"/>
      <c r="H47" s="3"/>
    </row>
    <row r="48" ht="19.5" customHeight="1">
      <c r="A48" s="16" t="s">
        <v>57</v>
      </c>
      <c r="B48" s="49" t="s">
        <v>310</v>
      </c>
      <c r="C48" s="13"/>
      <c r="D48" s="11"/>
      <c r="E48" s="49" t="s">
        <v>312</v>
      </c>
      <c r="F48" s="13"/>
      <c r="G48" s="13"/>
      <c r="H48" s="11"/>
    </row>
    <row r="49" ht="30.0" customHeight="1">
      <c r="A49" s="19">
        <v>1.0</v>
      </c>
      <c r="B49" s="12" t="s">
        <v>443</v>
      </c>
      <c r="C49" s="13"/>
      <c r="D49" s="11"/>
      <c r="E49" s="12" t="s">
        <v>447</v>
      </c>
      <c r="F49" s="13"/>
      <c r="G49" s="13"/>
      <c r="H49" s="11"/>
    </row>
    <row r="50" ht="30.0" customHeight="1">
      <c r="A50" s="19">
        <v>2.0</v>
      </c>
      <c r="B50" s="12" t="s">
        <v>449</v>
      </c>
      <c r="C50" s="13"/>
      <c r="D50" s="11"/>
      <c r="E50" s="12" t="s">
        <v>451</v>
      </c>
      <c r="F50" s="13"/>
      <c r="G50" s="13"/>
      <c r="H50" s="11"/>
    </row>
    <row r="51" ht="15.75" customHeight="1"/>
    <row r="52" ht="19.5" customHeight="1">
      <c r="A52" s="7" t="s">
        <v>324</v>
      </c>
      <c r="B52" s="2"/>
      <c r="C52" s="2"/>
      <c r="D52" s="2"/>
      <c r="E52" s="2"/>
      <c r="F52" s="2"/>
      <c r="G52" s="2"/>
      <c r="H52" s="3"/>
    </row>
    <row r="53" ht="21.75" customHeight="1">
      <c r="A53" s="56" t="s">
        <v>326</v>
      </c>
      <c r="B53" s="13"/>
      <c r="C53" s="13"/>
      <c r="D53" s="13"/>
      <c r="E53" s="13"/>
      <c r="F53" s="13"/>
      <c r="G53" s="13"/>
      <c r="H53" s="11"/>
    </row>
    <row r="54" ht="19.5" customHeight="1">
      <c r="A54" s="16" t="s">
        <v>57</v>
      </c>
      <c r="B54" s="16" t="s">
        <v>329</v>
      </c>
      <c r="C54" s="49" t="s">
        <v>331</v>
      </c>
      <c r="D54" s="11"/>
      <c r="E54" s="49" t="s">
        <v>333</v>
      </c>
      <c r="F54" s="11"/>
      <c r="G54" s="49" t="s">
        <v>334</v>
      </c>
      <c r="H54" s="11"/>
    </row>
    <row r="55" ht="19.5" customHeight="1">
      <c r="A55" s="57">
        <v>1.0</v>
      </c>
      <c r="B55" s="58" t="s">
        <v>295</v>
      </c>
      <c r="C55" s="48" t="s">
        <v>456</v>
      </c>
      <c r="D55" s="11"/>
      <c r="E55" s="48" t="s">
        <v>345</v>
      </c>
      <c r="F55" s="11"/>
      <c r="G55" s="48" t="s">
        <v>112</v>
      </c>
      <c r="H55" s="11"/>
    </row>
    <row r="56" ht="19.5" customHeight="1">
      <c r="A56" s="57">
        <v>2.0</v>
      </c>
      <c r="B56" s="58" t="s">
        <v>295</v>
      </c>
      <c r="C56" s="48" t="s">
        <v>457</v>
      </c>
      <c r="D56" s="11"/>
      <c r="E56" s="48" t="s">
        <v>458</v>
      </c>
      <c r="F56" s="11"/>
      <c r="G56" s="48" t="s">
        <v>112</v>
      </c>
      <c r="H56" s="11"/>
    </row>
    <row r="57" ht="19.5" customHeight="1">
      <c r="A57" s="57">
        <v>3.0</v>
      </c>
      <c r="B57" s="58" t="s">
        <v>295</v>
      </c>
      <c r="C57" s="48" t="s">
        <v>459</v>
      </c>
      <c r="D57" s="11"/>
      <c r="E57" s="48" t="s">
        <v>460</v>
      </c>
      <c r="F57" s="11"/>
      <c r="G57" s="48" t="s">
        <v>112</v>
      </c>
      <c r="H57" s="11"/>
    </row>
    <row r="58" ht="19.5" customHeight="1">
      <c r="A58" s="57">
        <v>4.0</v>
      </c>
      <c r="B58" s="58" t="s">
        <v>354</v>
      </c>
      <c r="C58" s="48" t="s">
        <v>461</v>
      </c>
      <c r="D58" s="11"/>
      <c r="E58" s="48" t="s">
        <v>358</v>
      </c>
      <c r="F58" s="11"/>
      <c r="G58" s="48" t="s">
        <v>112</v>
      </c>
      <c r="H58" s="11"/>
    </row>
    <row r="59" ht="19.5" customHeight="1">
      <c r="A59" s="57">
        <v>5.0</v>
      </c>
      <c r="B59" s="58"/>
      <c r="C59" s="48"/>
      <c r="D59" s="11"/>
      <c r="E59" s="48"/>
      <c r="F59" s="11"/>
      <c r="G59" s="48"/>
      <c r="H59" s="11"/>
    </row>
    <row r="60" ht="19.5" customHeight="1">
      <c r="A60" s="57">
        <v>6.0</v>
      </c>
      <c r="B60" s="58"/>
      <c r="C60" s="48"/>
      <c r="D60" s="11"/>
      <c r="E60" s="48"/>
      <c r="F60" s="11"/>
      <c r="G60" s="48"/>
      <c r="H60" s="11"/>
    </row>
    <row r="61" ht="19.5" customHeight="1">
      <c r="A61" s="57">
        <v>7.0</v>
      </c>
      <c r="B61" s="58"/>
      <c r="C61" s="48"/>
      <c r="D61" s="11"/>
      <c r="E61" s="48"/>
      <c r="F61" s="11"/>
      <c r="G61" s="48"/>
      <c r="H61" s="11"/>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E58:F58"/>
    <mergeCell ref="G58:H58"/>
    <mergeCell ref="C56:D56"/>
    <mergeCell ref="E56:F56"/>
    <mergeCell ref="G56:H56"/>
    <mergeCell ref="C57:D57"/>
    <mergeCell ref="E57:F57"/>
    <mergeCell ref="G57:H57"/>
    <mergeCell ref="C58:D58"/>
    <mergeCell ref="A1:H1"/>
    <mergeCell ref="D2:E2"/>
    <mergeCell ref="G2:H2"/>
    <mergeCell ref="A3:H3"/>
    <mergeCell ref="A5:H5"/>
    <mergeCell ref="A6:H6"/>
    <mergeCell ref="A8:H8"/>
    <mergeCell ref="B9:H9"/>
    <mergeCell ref="B10:H10"/>
    <mergeCell ref="B11:H11"/>
    <mergeCell ref="B12:H12"/>
    <mergeCell ref="B13:H13"/>
    <mergeCell ref="A15:H15"/>
    <mergeCell ref="A29:D29"/>
    <mergeCell ref="A31:H31"/>
    <mergeCell ref="B32:H32"/>
    <mergeCell ref="B33:H33"/>
    <mergeCell ref="B34:H34"/>
    <mergeCell ref="B35:H35"/>
    <mergeCell ref="B36:H36"/>
    <mergeCell ref="B37:H37"/>
    <mergeCell ref="A39:H39"/>
    <mergeCell ref="B40:H40"/>
    <mergeCell ref="B41:H41"/>
    <mergeCell ref="B42:H42"/>
    <mergeCell ref="A44:H44"/>
    <mergeCell ref="A45:H45"/>
    <mergeCell ref="A47:H47"/>
    <mergeCell ref="B48:D48"/>
    <mergeCell ref="E48:H48"/>
    <mergeCell ref="B49:D49"/>
    <mergeCell ref="E49:H49"/>
    <mergeCell ref="B50:D50"/>
    <mergeCell ref="E50:H50"/>
    <mergeCell ref="A52:H52"/>
    <mergeCell ref="A53:H53"/>
    <mergeCell ref="C54:D54"/>
    <mergeCell ref="E54:F54"/>
    <mergeCell ref="G54:H54"/>
    <mergeCell ref="C55:D55"/>
    <mergeCell ref="E55:F55"/>
    <mergeCell ref="G55:H55"/>
    <mergeCell ref="E61:F61"/>
    <mergeCell ref="G61:H61"/>
    <mergeCell ref="C59:D59"/>
    <mergeCell ref="E59:F59"/>
    <mergeCell ref="G59:H59"/>
    <mergeCell ref="C60:D60"/>
    <mergeCell ref="E60:F60"/>
    <mergeCell ref="G60:H60"/>
    <mergeCell ref="C61:D61"/>
  </mergeCells>
  <dataValidations>
    <dataValidation type="list" allowBlank="1" sqref="G2">
      <formula1>"Not started,On track,At risk,Behind,Done"</formula1>
    </dataValidation>
    <dataValidation type="list" allowBlank="1" sqref="H17:H28">
      <formula1>"Not started,In progress,Done,Blocked"</formula1>
    </dataValidation>
  </dataValidations>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2.0" topLeftCell="A13" activePane="bottomLeft" state="frozen"/>
      <selection activeCell="B14" sqref="B14" pane="bottomLeft"/>
    </sheetView>
  </sheetViews>
  <sheetFormatPr customHeight="1" defaultColWidth="12.63" defaultRowHeight="15.0"/>
  <cols>
    <col customWidth="1" min="1" max="1" width="4.38"/>
    <col customWidth="1" min="2" max="2" width="10.5"/>
    <col customWidth="1" min="3" max="3" width="15.75"/>
    <col customWidth="1" min="4" max="4" width="8.75"/>
    <col customWidth="1" min="5" max="5" width="12.25"/>
    <col customWidth="1" min="6" max="6" width="56.0"/>
    <col customWidth="1" min="7" max="7" width="40.25"/>
    <col customWidth="1" min="8" max="8" width="15.75"/>
    <col customWidth="1" min="9" max="9" width="8.75"/>
    <col customWidth="1" min="10" max="10" width="9.63"/>
    <col customWidth="1" min="11" max="26" width="7.63"/>
  </cols>
  <sheetData>
    <row r="1" ht="25.5" customHeight="1">
      <c r="A1" s="4" t="s">
        <v>422</v>
      </c>
      <c r="B1" s="2"/>
      <c r="C1" s="2"/>
      <c r="D1" s="2"/>
      <c r="E1" s="2"/>
      <c r="F1" s="2"/>
      <c r="G1" s="2"/>
      <c r="H1" s="2"/>
      <c r="I1" s="2"/>
      <c r="J1" s="3"/>
    </row>
    <row r="2" ht="24.0" customHeight="1">
      <c r="A2" s="59" t="s">
        <v>425</v>
      </c>
    </row>
    <row r="4" ht="19.5" customHeight="1">
      <c r="A4" s="7" t="s">
        <v>428</v>
      </c>
      <c r="B4" s="2"/>
      <c r="C4" s="2"/>
      <c r="D4" s="2"/>
      <c r="E4" s="2"/>
      <c r="F4" s="2"/>
      <c r="G4" s="2"/>
      <c r="H4" s="2"/>
      <c r="I4" s="2"/>
      <c r="J4" s="3"/>
    </row>
    <row r="5" ht="15.0" customHeight="1">
      <c r="A5" s="26">
        <v>1.0</v>
      </c>
      <c r="B5" s="12" t="s">
        <v>432</v>
      </c>
      <c r="C5" s="13"/>
      <c r="D5" s="13"/>
      <c r="E5" s="13"/>
      <c r="F5" s="13"/>
      <c r="G5" s="13"/>
      <c r="H5" s="13"/>
      <c r="I5" s="13"/>
      <c r="J5" s="11"/>
    </row>
    <row r="6" ht="30.0" customHeight="1">
      <c r="A6" s="26">
        <v>2.0</v>
      </c>
      <c r="B6" s="12" t="s">
        <v>435</v>
      </c>
      <c r="C6" s="13"/>
      <c r="D6" s="13"/>
      <c r="E6" s="13"/>
      <c r="F6" s="13"/>
      <c r="G6" s="13"/>
      <c r="H6" s="13"/>
      <c r="I6" s="13"/>
      <c r="J6" s="11"/>
    </row>
    <row r="7" ht="15.0" customHeight="1">
      <c r="A7" s="26">
        <v>3.0</v>
      </c>
      <c r="B7" s="12" t="s">
        <v>436</v>
      </c>
      <c r="C7" s="13"/>
      <c r="D7" s="13"/>
      <c r="E7" s="13"/>
      <c r="F7" s="13"/>
      <c r="G7" s="13"/>
      <c r="H7" s="13"/>
      <c r="I7" s="13"/>
      <c r="J7" s="11"/>
    </row>
    <row r="8" ht="15.0" customHeight="1">
      <c r="A8" s="26">
        <v>4.0</v>
      </c>
      <c r="B8" s="12" t="s">
        <v>438</v>
      </c>
      <c r="C8" s="13"/>
      <c r="D8" s="13"/>
      <c r="E8" s="13"/>
      <c r="F8" s="13"/>
      <c r="G8" s="13"/>
      <c r="H8" s="13"/>
      <c r="I8" s="13"/>
      <c r="J8" s="11"/>
    </row>
    <row r="9" ht="15.0" customHeight="1">
      <c r="A9" s="26">
        <v>5.0</v>
      </c>
      <c r="B9" s="12" t="s">
        <v>439</v>
      </c>
      <c r="C9" s="13"/>
      <c r="D9" s="13"/>
      <c r="E9" s="13"/>
      <c r="F9" s="13"/>
      <c r="G9" s="13"/>
      <c r="H9" s="13"/>
      <c r="I9" s="13"/>
      <c r="J9" s="11"/>
    </row>
    <row r="11" ht="19.5" customHeight="1">
      <c r="A11" s="7" t="s">
        <v>440</v>
      </c>
      <c r="B11" s="2"/>
      <c r="C11" s="2"/>
      <c r="D11" s="2"/>
      <c r="E11" s="2"/>
      <c r="F11" s="2"/>
      <c r="G11" s="2"/>
      <c r="H11" s="2"/>
      <c r="I11" s="2"/>
      <c r="J11" s="3"/>
    </row>
    <row r="12" ht="30.0" customHeight="1">
      <c r="A12" s="16" t="s">
        <v>57</v>
      </c>
      <c r="B12" s="16" t="s">
        <v>329</v>
      </c>
      <c r="C12" s="16" t="s">
        <v>441</v>
      </c>
      <c r="D12" s="16" t="s">
        <v>23</v>
      </c>
      <c r="E12" s="16" t="s">
        <v>442</v>
      </c>
      <c r="F12" s="16" t="s">
        <v>444</v>
      </c>
      <c r="G12" s="16" t="s">
        <v>445</v>
      </c>
      <c r="H12" s="16" t="s">
        <v>446</v>
      </c>
      <c r="I12" s="16" t="s">
        <v>62</v>
      </c>
      <c r="J12" s="16" t="s">
        <v>11</v>
      </c>
    </row>
    <row r="13" ht="30.0" customHeight="1">
      <c r="A13" s="60">
        <v>1.0</v>
      </c>
      <c r="B13" s="60" t="s">
        <v>448</v>
      </c>
      <c r="C13" s="61" t="s">
        <v>450</v>
      </c>
      <c r="D13" s="60" t="s">
        <v>28</v>
      </c>
      <c r="E13" s="60" t="s">
        <v>452</v>
      </c>
      <c r="F13" s="62" t="s">
        <v>453</v>
      </c>
      <c r="G13" s="62" t="s">
        <v>454</v>
      </c>
      <c r="H13" s="61" t="s">
        <v>9</v>
      </c>
      <c r="I13" s="60" t="s">
        <v>455</v>
      </c>
      <c r="J13" s="60" t="s">
        <v>114</v>
      </c>
    </row>
    <row r="14" ht="21.75" customHeight="1">
      <c r="A14" s="57">
        <v>2.0</v>
      </c>
      <c r="B14" s="63"/>
      <c r="C14" s="41"/>
      <c r="D14" s="63"/>
      <c r="E14" s="63"/>
      <c r="F14" s="58"/>
      <c r="G14" s="58"/>
      <c r="H14" s="41"/>
      <c r="I14" s="63"/>
      <c r="J14" s="63"/>
    </row>
    <row r="15" ht="21.75" customHeight="1">
      <c r="A15" s="57">
        <v>3.0</v>
      </c>
      <c r="B15" s="63"/>
      <c r="C15" s="41"/>
      <c r="D15" s="63"/>
      <c r="E15" s="63"/>
      <c r="F15" s="58"/>
      <c r="G15" s="58"/>
      <c r="H15" s="41"/>
      <c r="I15" s="63"/>
      <c r="J15" s="63"/>
    </row>
    <row r="16" ht="21.75" customHeight="1">
      <c r="A16" s="57">
        <v>4.0</v>
      </c>
      <c r="B16" s="63"/>
      <c r="C16" s="41"/>
      <c r="D16" s="63"/>
      <c r="E16" s="63"/>
      <c r="F16" s="58"/>
      <c r="G16" s="58"/>
      <c r="H16" s="41"/>
      <c r="I16" s="63"/>
      <c r="J16" s="63"/>
    </row>
    <row r="17" ht="21.75" customHeight="1">
      <c r="A17" s="57">
        <v>5.0</v>
      </c>
      <c r="B17" s="63"/>
      <c r="C17" s="41"/>
      <c r="D17" s="63"/>
      <c r="E17" s="63"/>
      <c r="F17" s="58"/>
      <c r="G17" s="58"/>
      <c r="H17" s="41"/>
      <c r="I17" s="63"/>
      <c r="J17" s="63"/>
    </row>
    <row r="18" ht="21.75" customHeight="1">
      <c r="A18" s="57">
        <v>6.0</v>
      </c>
      <c r="B18" s="63"/>
      <c r="C18" s="41"/>
      <c r="D18" s="63"/>
      <c r="E18" s="63"/>
      <c r="F18" s="58"/>
      <c r="G18" s="58"/>
      <c r="H18" s="41"/>
      <c r="I18" s="63"/>
      <c r="J18" s="63"/>
    </row>
    <row r="19" ht="21.75" customHeight="1">
      <c r="A19" s="57">
        <v>7.0</v>
      </c>
      <c r="B19" s="63"/>
      <c r="C19" s="41"/>
      <c r="D19" s="63"/>
      <c r="E19" s="63"/>
      <c r="F19" s="58"/>
      <c r="G19" s="58"/>
      <c r="H19" s="41"/>
      <c r="I19" s="63"/>
      <c r="J19" s="63"/>
    </row>
    <row r="20" ht="21.75" customHeight="1">
      <c r="A20" s="57">
        <v>8.0</v>
      </c>
      <c r="B20" s="63"/>
      <c r="C20" s="41"/>
      <c r="D20" s="63"/>
      <c r="E20" s="63"/>
      <c r="F20" s="58"/>
      <c r="G20" s="58"/>
      <c r="H20" s="41"/>
      <c r="I20" s="63"/>
      <c r="J20" s="63"/>
    </row>
    <row r="21" ht="21.75" customHeight="1">
      <c r="A21" s="57">
        <v>9.0</v>
      </c>
      <c r="B21" s="63"/>
      <c r="C21" s="41"/>
      <c r="D21" s="63"/>
      <c r="E21" s="63"/>
      <c r="F21" s="58"/>
      <c r="G21" s="58"/>
      <c r="H21" s="41"/>
      <c r="I21" s="63"/>
      <c r="J21" s="63"/>
    </row>
    <row r="22" ht="21.75" customHeight="1">
      <c r="A22" s="57">
        <v>10.0</v>
      </c>
      <c r="B22" s="63"/>
      <c r="C22" s="41"/>
      <c r="D22" s="63"/>
      <c r="E22" s="63"/>
      <c r="F22" s="58"/>
      <c r="G22" s="58"/>
      <c r="H22" s="41"/>
      <c r="I22" s="63"/>
      <c r="J22" s="63"/>
    </row>
    <row r="23" ht="21.75" customHeight="1">
      <c r="A23" s="57">
        <v>11.0</v>
      </c>
      <c r="B23" s="63"/>
      <c r="C23" s="41"/>
      <c r="D23" s="63"/>
      <c r="E23" s="63"/>
      <c r="F23" s="58"/>
      <c r="G23" s="58"/>
      <c r="H23" s="41"/>
      <c r="I23" s="63"/>
      <c r="J23" s="63"/>
    </row>
    <row r="24" ht="21.75" customHeight="1">
      <c r="A24" s="57">
        <v>12.0</v>
      </c>
      <c r="B24" s="63"/>
      <c r="C24" s="41"/>
      <c r="D24" s="63"/>
      <c r="E24" s="63"/>
      <c r="F24" s="58"/>
      <c r="G24" s="58"/>
      <c r="H24" s="41"/>
      <c r="I24" s="63"/>
      <c r="J24" s="63"/>
    </row>
    <row r="25" ht="21.75" customHeight="1">
      <c r="A25" s="57">
        <v>13.0</v>
      </c>
      <c r="B25" s="63"/>
      <c r="C25" s="41"/>
      <c r="D25" s="63"/>
      <c r="E25" s="63"/>
      <c r="F25" s="58"/>
      <c r="G25" s="58"/>
      <c r="H25" s="41"/>
      <c r="I25" s="63"/>
      <c r="J25" s="63"/>
    </row>
    <row r="26" ht="21.75" customHeight="1">
      <c r="A26" s="57">
        <v>14.0</v>
      </c>
      <c r="B26" s="63"/>
      <c r="C26" s="41"/>
      <c r="D26" s="63"/>
      <c r="E26" s="63"/>
      <c r="F26" s="58"/>
      <c r="G26" s="58"/>
      <c r="H26" s="41"/>
      <c r="I26" s="63"/>
      <c r="J26" s="63"/>
    </row>
    <row r="27" ht="21.75" customHeight="1">
      <c r="A27" s="57">
        <v>15.0</v>
      </c>
      <c r="B27" s="63"/>
      <c r="C27" s="41"/>
      <c r="D27" s="63"/>
      <c r="E27" s="63"/>
      <c r="F27" s="58"/>
      <c r="G27" s="58"/>
      <c r="H27" s="41"/>
      <c r="I27" s="63"/>
      <c r="J27" s="63"/>
    </row>
    <row r="28" ht="21.75" customHeight="1">
      <c r="A28" s="57">
        <v>16.0</v>
      </c>
      <c r="B28" s="63"/>
      <c r="C28" s="41"/>
      <c r="D28" s="63"/>
      <c r="E28" s="63"/>
      <c r="F28" s="58"/>
      <c r="G28" s="58"/>
      <c r="H28" s="41"/>
      <c r="I28" s="63"/>
      <c r="J28" s="63"/>
    </row>
    <row r="29" ht="21.75" customHeight="1">
      <c r="A29" s="57">
        <v>17.0</v>
      </c>
      <c r="B29" s="63"/>
      <c r="C29" s="41"/>
      <c r="D29" s="63"/>
      <c r="E29" s="63"/>
      <c r="F29" s="58"/>
      <c r="G29" s="58"/>
      <c r="H29" s="41"/>
      <c r="I29" s="63"/>
      <c r="J29" s="63"/>
    </row>
    <row r="30" ht="21.75" customHeight="1">
      <c r="A30" s="57">
        <v>18.0</v>
      </c>
      <c r="B30" s="63"/>
      <c r="C30" s="41"/>
      <c r="D30" s="63"/>
      <c r="E30" s="63"/>
      <c r="F30" s="58"/>
      <c r="G30" s="58"/>
      <c r="H30" s="41"/>
      <c r="I30" s="63"/>
      <c r="J30" s="63"/>
    </row>
    <row r="31" ht="21.75" customHeight="1">
      <c r="A31" s="57">
        <v>19.0</v>
      </c>
      <c r="B31" s="63"/>
      <c r="C31" s="41"/>
      <c r="D31" s="63"/>
      <c r="E31" s="63"/>
      <c r="F31" s="58"/>
      <c r="G31" s="58"/>
      <c r="H31" s="41"/>
      <c r="I31" s="63"/>
      <c r="J31" s="63"/>
    </row>
    <row r="32" ht="21.75" customHeight="1">
      <c r="A32" s="57">
        <v>20.0</v>
      </c>
      <c r="B32" s="63"/>
      <c r="C32" s="41"/>
      <c r="D32" s="63"/>
      <c r="E32" s="63"/>
      <c r="F32" s="58"/>
      <c r="G32" s="58"/>
      <c r="H32" s="41"/>
      <c r="I32" s="63"/>
      <c r="J32" s="63"/>
    </row>
    <row r="33" ht="21.75" customHeight="1">
      <c r="A33" s="57">
        <v>21.0</v>
      </c>
      <c r="B33" s="63"/>
      <c r="C33" s="41"/>
      <c r="D33" s="63"/>
      <c r="E33" s="63"/>
      <c r="F33" s="58"/>
      <c r="G33" s="58"/>
      <c r="H33" s="41"/>
      <c r="I33" s="63"/>
      <c r="J33" s="63"/>
    </row>
    <row r="34" ht="21.75" customHeight="1">
      <c r="A34" s="57">
        <v>22.0</v>
      </c>
      <c r="B34" s="63"/>
      <c r="C34" s="41"/>
      <c r="D34" s="63"/>
      <c r="E34" s="63"/>
      <c r="F34" s="58"/>
      <c r="G34" s="58"/>
      <c r="H34" s="41"/>
      <c r="I34" s="63"/>
      <c r="J34" s="63"/>
    </row>
    <row r="35" ht="21.75" customHeight="1">
      <c r="A35" s="57">
        <v>23.0</v>
      </c>
      <c r="B35" s="63"/>
      <c r="C35" s="41"/>
      <c r="D35" s="63"/>
      <c r="E35" s="63"/>
      <c r="F35" s="58"/>
      <c r="G35" s="58"/>
      <c r="H35" s="41"/>
      <c r="I35" s="63"/>
      <c r="J35" s="63"/>
    </row>
    <row r="36" ht="21.75" customHeight="1">
      <c r="A36" s="57">
        <v>24.0</v>
      </c>
      <c r="B36" s="63"/>
      <c r="C36" s="41"/>
      <c r="D36" s="63"/>
      <c r="E36" s="63"/>
      <c r="F36" s="58"/>
      <c r="G36" s="58"/>
      <c r="H36" s="41"/>
      <c r="I36" s="63"/>
      <c r="J36" s="63"/>
    </row>
    <row r="37" ht="21.75" customHeight="1">
      <c r="A37" s="57">
        <v>25.0</v>
      </c>
      <c r="B37" s="63"/>
      <c r="C37" s="41"/>
      <c r="D37" s="63"/>
      <c r="E37" s="63"/>
      <c r="F37" s="58"/>
      <c r="G37" s="58"/>
      <c r="H37" s="41"/>
      <c r="I37" s="63"/>
      <c r="J37" s="63"/>
    </row>
    <row r="38" ht="21.75" customHeight="1">
      <c r="A38" s="57">
        <v>26.0</v>
      </c>
      <c r="B38" s="63"/>
      <c r="C38" s="41"/>
      <c r="D38" s="63"/>
      <c r="E38" s="63"/>
      <c r="F38" s="58"/>
      <c r="G38" s="58"/>
      <c r="H38" s="41"/>
      <c r="I38" s="63"/>
      <c r="J38" s="63"/>
    </row>
    <row r="39" ht="21.75" customHeight="1">
      <c r="A39" s="57">
        <v>27.0</v>
      </c>
      <c r="B39" s="63"/>
      <c r="C39" s="41"/>
      <c r="D39" s="63"/>
      <c r="E39" s="63"/>
      <c r="F39" s="58"/>
      <c r="G39" s="58"/>
      <c r="H39" s="41"/>
      <c r="I39" s="63"/>
      <c r="J39" s="63"/>
    </row>
    <row r="40" ht="21.75" customHeight="1">
      <c r="A40" s="57">
        <v>28.0</v>
      </c>
      <c r="B40" s="63"/>
      <c r="C40" s="41"/>
      <c r="D40" s="63"/>
      <c r="E40" s="63"/>
      <c r="F40" s="58"/>
      <c r="G40" s="58"/>
      <c r="H40" s="41"/>
      <c r="I40" s="63"/>
      <c r="J40" s="63"/>
    </row>
    <row r="41" ht="21.75" customHeight="1">
      <c r="A41" s="57">
        <v>29.0</v>
      </c>
      <c r="B41" s="63"/>
      <c r="C41" s="41"/>
      <c r="D41" s="63"/>
      <c r="E41" s="63"/>
      <c r="F41" s="58"/>
      <c r="G41" s="58"/>
      <c r="H41" s="41"/>
      <c r="I41" s="63"/>
      <c r="J41" s="63"/>
    </row>
    <row r="42" ht="21.75" customHeight="1">
      <c r="A42" s="57">
        <v>30.0</v>
      </c>
      <c r="B42" s="63"/>
      <c r="C42" s="41"/>
      <c r="D42" s="63"/>
      <c r="E42" s="63"/>
      <c r="F42" s="58"/>
      <c r="G42" s="58"/>
      <c r="H42" s="41"/>
      <c r="I42" s="63"/>
      <c r="J42" s="63"/>
    </row>
    <row r="43" ht="21.75" customHeight="1">
      <c r="A43" s="57">
        <v>31.0</v>
      </c>
      <c r="B43" s="63"/>
      <c r="C43" s="41"/>
      <c r="D43" s="63"/>
      <c r="E43" s="63"/>
      <c r="F43" s="58"/>
      <c r="G43" s="58"/>
      <c r="H43" s="41"/>
      <c r="I43" s="63"/>
      <c r="J43" s="63"/>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2:$J$43"/>
  <mergeCells count="9">
    <mergeCell ref="B9:J9"/>
    <mergeCell ref="A11:J11"/>
    <mergeCell ref="A1:J1"/>
    <mergeCell ref="A2:J2"/>
    <mergeCell ref="A4:J4"/>
    <mergeCell ref="B5:J5"/>
    <mergeCell ref="B6:J6"/>
    <mergeCell ref="B7:J7"/>
    <mergeCell ref="B8:J8"/>
  </mergeCells>
  <dataValidations>
    <dataValidation type="list" allowBlank="1" sqref="C13:C43">
      <formula1>"MC meeting,Report,Review,Ad-hoc"</formula1>
    </dataValidation>
    <dataValidation type="list" allowBlank="1" sqref="D13:D43">
      <formula1>"General,T1,T2,T3,T4"</formula1>
    </dataValidation>
    <dataValidation type="list" allowBlank="1" sqref="E13:E43">
      <formula1>"Approved,Confirmed,Reported,Deferred,Rejected"</formula1>
    </dataValidation>
    <dataValidation type="list" allowBlank="1" sqref="J13:J43">
      <formula1>"Open,Done"</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2026-09-23T08:27:02Z</dcterms:created>
  <dc:creator>openpyxl</dc:creator>
</cp:coreProperties>
</file>